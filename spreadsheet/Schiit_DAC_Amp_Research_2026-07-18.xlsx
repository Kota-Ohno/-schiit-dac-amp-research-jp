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4892ebe7f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" sheetId="1" r:id="R1d63bfc4e11549cd"/>
    <x:sheet xmlns:r="http://schemas.openxmlformats.org/officeDocument/2006/relationships" name="現行一覧" sheetId="2" r:id="R881bf6aa25b54f12"/>
    <x:sheet xmlns:r="http://schemas.openxmlformats.org/officeDocument/2006/relationships" name="公式仕様" sheetId="3" r:id="R7921845da3c44a79"/>
    <x:sheet xmlns:r="http://schemas.openxmlformats.org/officeDocument/2006/relationships" name="レビュー傾向" sheetId="4" r:id="R194737c0b268462c"/>
    <x:sheet xmlns:r="http://schemas.openxmlformats.org/officeDocument/2006/relationships" name="旧世代注意" sheetId="5" r:id="Rfcb55977daa84a0b"/>
    <x:sheet xmlns:r="http://schemas.openxmlformats.org/officeDocument/2006/relationships" name="出典" sheetId="6" r:id="Rdfa6a297bb194396"/>
    <x:sheet xmlns:r="http://schemas.openxmlformats.org/officeDocument/2006/relationships" name="評価基準" sheetId="7" r:id="Re5f20f6b06f6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"/>
  </x:numFmts>
  <x:fonts count="9">
    <x:font>
      <x:sz val="11"/>
      <x:name val="Carlito"/>
    </x:font>
    <x:font>
      <x:b/>
      <x:sz val="18"/>
      <x:color rgb="FFFFFFFF"/>
      <x:name val="Yu Gothic"/>
    </x:font>
    <x:font>
      <x:sz val="9"/>
      <x:color rgb="FFF5ECD6"/>
      <x:name val="Yu Gothic"/>
    </x:font>
    <x:font>
      <x:b/>
      <x:sz val="9"/>
      <x:color rgb="FFFFFFFF"/>
      <x:name val="Yu Gothic"/>
    </x:font>
    <x:font>
      <x:sz val="9"/>
      <x:color rgb="FF2E3238"/>
      <x:name val="Yu Gothic"/>
    </x:font>
    <x:font>
      <x:b/>
      <x:sz val="10"/>
      <x:color rgb="FF2E3238"/>
      <x:name val="Yu Gothic"/>
    </x:font>
    <x:font>
      <x:b/>
      <x:sz val="11"/>
      <x:color rgb="FFFFFFFF"/>
      <x:name val="Yu Gothic"/>
    </x:font>
    <x:font>
      <x:b/>
      <x:sz val="9"/>
      <x:color rgb="FF132238"/>
      <x:name val="Yu Gothic"/>
    </x:font>
    <x:font>
      <x:b/>
      <x:sz val="18"/>
      <x:color rgb="FF132238"/>
      <x:name val="Yu Gothic"/>
    </x:font>
  </x:fonts>
  <x:fills count="12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20364F"/>
      </x:patternFill>
    </x:fill>
    <x:fill>
      <x:patternFill patternType="solid">
        <x:fgColor rgb="FF2E3238"/>
      </x:patternFill>
    </x:fill>
    <x:fill>
      <x:patternFill patternType="solid">
        <x:fgColor rgb="FFF5F6F8"/>
      </x:patternFill>
    </x:fill>
    <x:fill>
      <x:patternFill patternType="solid">
        <x:fgColor rgb="FFDCEFE2"/>
      </x:patternFill>
    </x:fill>
    <x:fill>
      <x:patternFill patternType="solid">
        <x:fgColor rgb="FFE9EEF5"/>
      </x:patternFill>
    </x:fill>
    <x:fill>
      <x:patternFill patternType="solid">
        <x:fgColor rgb="FFF5ECD6"/>
      </x:patternFill>
    </x:fill>
    <x:fill>
      <x:patternFill patternType="solid">
        <x:fgColor rgb="FFF8DDDA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</x:fills>
  <x:borders count="19">
    <x:border/>
    <x:border>
      <x:bottom style="medium">
        <x:color rgb="FFC6A15B"/>
      </x:bottom>
    </x:border>
    <x:border>
      <x:bottom style="thin">
        <x:color rgb="FFD8DCE2"/>
      </x:bottom>
    </x:border>
    <x:border>
      <x:top style="thin">
        <x:color rgb="FFD8DCE2"/>
      </x:top>
      <x:bottom style="thin">
        <x:color rgb="FFD8DCE2"/>
      </x:bottom>
    </x:border>
    <x:border>
      <x:top style="thin">
        <x:color rgb="FFD8DCE2"/>
      </x:top>
    </x:border>
    <x:border>
      <x:left style="thin">
        <x:color rgb="FFC6A15B"/>
      </x:left>
      <x:top style="thin">
        <x:color rgb="FFC6A15B"/>
      </x:top>
      <x:bottom style="thin">
        <x:color rgb="FFC6A15B"/>
      </x:bottom>
    </x:border>
    <x:border>
      <x:right style="thin">
        <x:color rgb="FFC6A15B"/>
      </x:right>
      <x:top style="thin">
        <x:color rgb="FFC6A15B"/>
      </x:top>
      <x:bottom style="thin">
        <x:color rgb="FFC6A15B"/>
      </x:bottom>
    </x:border>
    <x:border>
      <x:left style="thin">
        <x:color rgb="FFC6A15B"/>
      </x:left>
      <x:top style="thin">
        <x:color rgb="FFC6A15B"/>
      </x:top>
    </x:border>
    <x:border>
      <x:top style="thin">
        <x:color rgb="FFC6A15B"/>
      </x:top>
    </x:border>
    <x:border>
      <x:right style="thin">
        <x:color rgb="FFC6A15B"/>
      </x:right>
      <x:top style="thin">
        <x:color rgb="FFC6A15B"/>
      </x:top>
    </x:border>
    <x:border>
      <x:left style="thin">
        <x:color rgb="FFC6A15B"/>
      </x:left>
      <x:bottom style="thin">
        <x:color rgb="FFC6A15B"/>
      </x:bottom>
    </x:border>
    <x:border>
      <x:bottom style="thin">
        <x:color rgb="FFC6A15B"/>
      </x:bottom>
    </x:border>
    <x:border>
      <x:right style="thin">
        <x:color rgb="FFC6A15B"/>
      </x:right>
      <x:bottom style="thin">
        <x:color rgb="FFC6A15B"/>
      </x:bottom>
    </x:border>
    <x:border>
      <x:left style="thin">
        <x:color rgb="FFD8DCE2"/>
      </x:left>
      <x:top style="thin">
        <x:color rgb="FFD8DCE2"/>
      </x:top>
    </x:border>
    <x:border>
      <x:right style="thin">
        <x:color rgb="FFD8DCE2"/>
      </x:right>
      <x:top style="thin">
        <x:color rgb="FFD8DCE2"/>
      </x:top>
    </x:border>
    <x:border>
      <x:left style="thin">
        <x:color rgb="FFD8DCE2"/>
      </x:left>
    </x:border>
    <x:border>
      <x:right style="thin">
        <x:color rgb="FFD8DCE2"/>
      </x:right>
    </x:border>
    <x:border>
      <x:left style="thin">
        <x:color rgb="FFD8DCE2"/>
      </x:left>
      <x:bottom style="thin">
        <x:color rgb="FFD8DCE2"/>
      </x:bottom>
    </x:border>
    <x:border>
      <x:right style="thin">
        <x:color rgb="FFD8DCE2"/>
      </x:right>
      <x:bottom style="thin">
        <x:color rgb="FFD8DCE2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top" wrapText="1"/>
    </x:xf>
    <x:xf numFmtId="0" fontId="4" fillId="7" borderId="2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4" fillId="8" borderId="3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4" fillId="7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4" fillId="9" borderId="3" xfId="0" applyNumberFormat="1" applyFont="1" applyFill="1" applyBorder="1" applyAlignment="1">
      <x:alignment horizontal="center" vertical="top" wrapText="1"/>
    </x:xf>
    <x:xf numFmtId="0" fontId="5" fillId="9" borderId="3" xfId="0" applyNumberFormat="1" applyFont="1" applyFill="1" applyBorder="1" applyAlignment="1">
      <x:alignment horizontal="center" vertical="top" wrapText="1"/>
    </x:xf>
    <x:xf numFmtId="0" fontId="4" fillId="10" borderId="3" xfId="0" applyNumberFormat="1" applyFont="1" applyFill="1" applyBorder="1" applyAlignment="1">
      <x:alignment horizontal="center" vertical="top" wrapText="1"/>
    </x:xf>
    <x:xf numFmtId="0" fontId="5" fillId="10" borderId="3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4" fillId="10" borderId="4" xfId="0" applyNumberFormat="1" applyFont="1" applyFill="1" applyBorder="1" applyAlignment="1">
      <x:alignment horizontal="center" vertical="top" wrapText="1"/>
    </x:xf>
    <x:xf numFmtId="0" fontId="5" fillId="10" borderId="4" xfId="0" applyNumberFormat="1" applyFont="1" applyFill="1" applyBorder="1" applyAlignment="1">
      <x:alignment horizontal="center" vertical="top" wrapText="1"/>
    </x:xf>
    <x:xf numFmtId="0" fontId="4" fillId="6" borderId="4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4" fillId="8" borderId="4" xfId="0" applyNumberFormat="1" applyFont="1" applyFill="1" applyBorder="1" applyAlignment="1">
      <x:alignment horizontal="center" vertical="top" wrapText="1"/>
    </x:xf>
    <x:xf numFmtId="0" fontId="5" fillId="8" borderId="4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5" xfId="0" applyNumberFormat="1" applyFont="1" applyFill="1" applyBorder="1" applyAlignment="1">
      <x:alignment horizontal="center"/>
    </x:xf>
    <x:xf numFmtId="0" fontId="7" fillId="8" borderId="6" xfId="0" applyNumberFormat="1" applyFont="1" applyFill="1" applyBorder="1" applyAlignment="1">
      <x:alignment horizontal="center"/>
    </x:xf>
    <x:xf numFmtId="0" fontId="7" fillId="8" borderId="5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5" xfId="0" applyNumberFormat="1" applyFont="1" applyFill="1" applyBorder="1"/>
    <x:xf numFmtId="0" fontId="8" fillId="11" borderId="6" xfId="0" applyNumberFormat="1" applyFont="1" applyFill="1" applyBorder="1"/>
    <x:xf numFmtId="0" fontId="8" fillId="11" borderId="5" xfId="0" applyNumberFormat="1" applyFont="1" applyFill="1" applyBorder="1" applyAlignment="1">
      <x:alignment horizontal="center"/>
    </x:xf>
    <x:xf numFmtId="0" fontId="8" fillId="11" borderId="6" xfId="0" applyNumberFormat="1" applyFont="1" applyFill="1" applyBorder="1" applyAlignment="1">
      <x:alignment horizontal="center"/>
    </x:xf>
    <x:xf numFmtId="0" fontId="8" fillId="11" borderId="5" xfId="0" applyNumberFormat="1" applyFont="1" applyFill="1" applyBorder="1" applyAlignment="1">
      <x:alignment horizontal="center" vertical="center"/>
    </x:xf>
    <x:xf numFmtId="0" fontId="8" fillId="11" borderId="6" xfId="0" applyNumberFormat="1" applyFont="1" applyFill="1" applyBorder="1" applyAlignment="1">
      <x:alignment horizontal="center" vertical="center"/>
    </x:xf>
    <x:xf numFmtId="200" fontId="8" fillId="11" borderId="5" xfId="0" applyNumberFormat="1" applyFont="1" applyFill="1" applyBorder="1" applyAlignment="1">
      <x:alignment horizontal="center" vertical="center"/>
    </x:xf>
    <x:xf numFmtId="200" fontId="8" fillId="11" borderId="6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8" xfId="0" applyNumberFormat="1" applyFont="1" applyFill="1" applyBorder="1"/>
    <x:xf numFmtId="0" fontId="5" fillId="10" borderId="9" xfId="0" applyNumberFormat="1" applyFont="1" applyFill="1" applyBorder="1"/>
    <x:xf numFmtId="0" fontId="5" fillId="10" borderId="10" xfId="0" applyNumberFormat="1" applyFont="1" applyFill="1" applyBorder="1"/>
    <x:xf numFmtId="0" fontId="5" fillId="10" borderId="11" xfId="0" applyNumberFormat="1" applyFont="1" applyFill="1" applyBorder="1"/>
    <x:xf numFmtId="0" fontId="5" fillId="10" borderId="12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8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wrapText="1"/>
    </x:xf>
    <x:xf numFmtId="0" fontId="5" fillId="10" borderId="10" xfId="0" applyNumberFormat="1" applyFont="1" applyFill="1" applyBorder="1" applyAlignment="1">
      <x:alignment wrapText="1"/>
    </x:xf>
    <x:xf numFmtId="0" fontId="5" fillId="10" borderId="11" xfId="0" applyNumberFormat="1" applyFont="1" applyFill="1" applyBorder="1" applyAlignment="1">
      <x:alignment wrapText="1"/>
    </x:xf>
    <x:xf numFmtId="0" fontId="5" fillId="10" borderId="12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5" fillId="10" borderId="8" xfId="0" applyNumberFormat="1" applyFont="1" applyFill="1" applyBorder="1" applyAlignment="1">
      <x:alignment vertical="center" wrapText="1"/>
    </x:xf>
    <x:xf numFmtId="0" fontId="5" fillId="10" borderId="9" xfId="0" applyNumberFormat="1" applyFont="1" applyFill="1" applyBorder="1" applyAlignment="1">
      <x:alignment vertical="center" wrapText="1"/>
    </x:xf>
    <x:xf numFmtId="0" fontId="5" fillId="10" borderId="10" xfId="0" applyNumberFormat="1" applyFont="1" applyFill="1" applyBorder="1" applyAlignment="1">
      <x:alignment vertical="center" wrapText="1"/>
    </x:xf>
    <x:xf numFmtId="0" fontId="5" fillId="10" borderId="11" xfId="0" applyNumberFormat="1" applyFont="1" applyFill="1" applyBorder="1" applyAlignment="1">
      <x:alignment vertical="center" wrapText="1"/>
    </x:xf>
    <x:xf numFmtId="0" fontId="5" fillId="10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3" xfId="0" applyNumberFormat="1" applyFont="1" applyFill="1" applyBorder="1"/>
    <x:xf numFmtId="0" fontId="4" fillId="7" borderId="4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2" xfId="0" applyNumberFormat="1" applyFont="1" applyFill="1" applyBorder="1"/>
    <x:xf numFmtId="0" fontId="4" fillId="7" borderId="18" xfId="0" applyNumberFormat="1" applyFont="1" applyFill="1" applyBorder="1"/>
    <x:xf numFmtId="0" fontId="4" fillId="7" borderId="1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6" xfId="0" applyNumberFormat="1" applyFont="1" applyFill="1" applyBorder="1" applyAlignment="1">
      <x:alignment vertical="center" wrapText="1"/>
    </x:xf>
    <x:xf numFmtId="0" fontId="4" fillId="7" borderId="17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1eae0ffb14012" /><Relationship Type="http://schemas.openxmlformats.org/officeDocument/2006/relationships/theme" Target="/xl/theme/theme1.xml" Id="R8b7959727fac463b" /><Relationship Type="http://schemas.openxmlformats.org/officeDocument/2006/relationships/sharedStrings" Target="/xl/sharedStrings.xml" Id="R464db1de71484e66" /><Relationship Type="http://schemas.openxmlformats.org/officeDocument/2006/relationships/worksheet" Target="/xl/worksheets/sheet1.xml" Id="R1d63bfc4e11549cd" /><Relationship Type="http://schemas.openxmlformats.org/officeDocument/2006/relationships/worksheet" Target="/xl/worksheets/sheet2.xml" Id="R881bf6aa25b54f12" /><Relationship Type="http://schemas.openxmlformats.org/officeDocument/2006/relationships/worksheet" Target="/xl/worksheets/sheet3.xml" Id="R7921845da3c44a79" /><Relationship Type="http://schemas.openxmlformats.org/officeDocument/2006/relationships/worksheet" Target="/xl/worksheets/sheet4.xml" Id="R194737c0b268462c" /><Relationship Type="http://schemas.openxmlformats.org/officeDocument/2006/relationships/worksheet" Target="/xl/worksheets/sheet5.xml" Id="Rfcb55977daa84a0b" /><Relationship Type="http://schemas.openxmlformats.org/officeDocument/2006/relationships/worksheet" Target="/xl/worksheets/sheet6.xml" Id="Rdfa6a297bb194396" /><Relationship Type="http://schemas.openxmlformats.org/officeDocument/2006/relationships/worksheet" Target="/xl/worksheets/sheet7.xml" Id="Re5f20f6b06f64b8d" /></Relationships>
</file>

<file path=xl/tables/table1.xml><?xml version="1.0" encoding="utf-8"?>
<x:table xmlns:x="http://schemas.openxmlformats.org/spreadsheetml/2006/main" id="7" name="UseCaseRecommendationsTable" displayName="UseCaseRecommendationsTable" ref="A9:F15" headerRowCount="1" totalsRowCount="0" totalsRowShown="0">
  <x:autoFilter ref="A9:F15"/>
  <x:tableColumns count="6">
    <x:tableColumn id="1" name="No."/>
    <x:tableColumn id="2" name="ユースケース"/>
    <x:tableColumn id="3" name="候補"/>
    <x:tableColumn id="4" name="価格帯"/>
    <x:tableColumn id="5" name="適合理由"/>
    <x:tableColumn id="6" name="注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rentProductsTable" displayName="CurrentProductsTable" ref="A4:N21" headerRowCount="1" totalsRowCount="0" totalsRowShown="0">
  <x:autoFilter ref="A4:N21"/>
  <x:tableColumns count="14">
    <x:tableColumn id="1" name="No."/>
    <x:tableColumn id="2" name="製品"/>
    <x:tableColumn id="3" name="区分"/>
    <x:tableColumn id="4" name="状態"/>
    <x:tableColumn id="5" name="本体価格_USD"/>
    <x:tableColumn id="6" name="オプション_USD"/>
    <x:tableColumn id="7" name="構成価格_USD"/>
    <x:tableColumn id="8" name="価格・構成注記"/>
    <x:tableColumn id="9" name="IEM"/>
    <x:tableColumn id="10" name="平面駆動"/>
    <x:tableColumn id="11" name="高インピーダンス"/>
    <x:tableColumn id="12" name="価値"/>
    <x:tableColumn id="13" name="向く用途"/>
    <x:tableColumn id="14" name="避けたい用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OfficialSpecsTable" displayName="OfficialSpecsTable" ref="A4:Q21" headerRowCount="1" totalsRowCount="0" totalsRowShown="0">
  <x:autoFilter ref="A4:Q21"/>
  <x:tableColumns count="17">
    <x:tableColumn id="1" name="No."/>
    <x:tableColumn id="2" name="製品"/>
    <x:tableColumn id="3" name="形態"/>
    <x:tableColumn id="4" name="状態"/>
    <x:tableColumn id="5" name="アーキテクチャ/DAC"/>
    <x:tableColumn id="6" name="入力"/>
    <x:tableColumn id="7" name="ヘッドホン出力"/>
    <x:tableColumn id="8" name="ライン/プリ出力"/>
    <x:tableColumn id="9" name="バランス実態"/>
    <x:tableColumn id="10" name="出力要約"/>
    <x:tableColumn id="11" name="ゲイン"/>
    <x:tableColumn id="12" name="出力Z_Ω"/>
    <x:tableColumn id="13" name="SNR_dB"/>
    <x:tableColumn id="14" name="THD"/>
    <x:tableColumn id="15" name="給電/電圧"/>
    <x:tableColumn id="16" name="日本100V"/>
    <x:tableColumn id="17" name="保証・公式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viewTrendsTable" displayName="ReviewTrendsTable" ref="A4:I21" headerRowCount="1" totalsRowCount="0" totalsRowShown="0">
  <x:autoFilter ref="A4:I21"/>
  <x:tableColumns count="9">
    <x:tableColumn id="1" name="No."/>
    <x:tableColumn id="2" name="製品"/>
    <x:tableColumn id="3" name="共通傾向"/>
    <x:tableColumn id="4" name="反対意見・注意"/>
    <x:tableColumn id="5" name="確信度"/>
    <x:tableColumn id="6" name="向く用途"/>
    <x:tableColumn id="7" name="避けたい用途"/>
    <x:tableColumn id="8" name="参照数"/>
    <x:tableColumn id="9" name="レビュー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LegacyWarningsTable" displayName="LegacyWarningsTable" ref="A4:C11" headerRowCount="1" totalsRowCount="0" totalsRowShown="0">
  <x:autoFilter ref="A4:C11"/>
  <x:tableColumns count="3">
    <x:tableColumn id="1" name="No."/>
    <x:tableColumn id="2" name="論点"/>
    <x:tableColumn id="3" name="注意事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ourcesTable" displayName="SourcesTable" ref="A4:G81" headerRowCount="1" totalsRowCount="0" totalsRowShown="0">
  <x:autoFilter ref="A4:G81"/>
  <x:tableColumns count="7">
    <x:tableColumn id="1" name="No."/>
    <x:tableColumn id="2" name="種別"/>
    <x:tableColumn id="3" name="対象製品"/>
    <x:tableColumn id="4" name="ドメイン"/>
    <x:tableColumn id="5" name="使用目的"/>
    <x:tableColumn id="6" name="位置付け"/>
    <x:tableColumn id="7" name="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EvaluationCriteriaTable" displayName="EvaluationCriteriaTable" ref="A4:E19" headerRowCount="1" totalsRowCount="0" totalsRowShown="0">
  <x:autoFilter ref="A4:E19"/>
  <x:tableColumns count="5">
    <x:tableColumn id="1" name="評価軸"/>
    <x:tableColumn id="2" name="スコア"/>
    <x:tableColumn id="3" name="定義"/>
    <x:tableColumn id="4" name="対象用途"/>
    <x:tableColumn id="5" name="判定材料・注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c81aa7464a45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a5b74fc20e44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106be2f0db4f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f5d38bd906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394c2e53dd4b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84c541b07b343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5a4b8b86eb47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1" hidden="0" customWidth="1"/>
    <x:col min="4" max="4" width="18" hidden="0" customWidth="1"/>
    <x:col min="5" max="5" width="52" hidden="0" customWidth="1"/>
    <x:col min="6" max="6" width="48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Schiit DAC・ヘッドホンアンプ調査 — 一般用途別結論</x:v>
      </x:c>
      <x:c r="B1" s="4"/>
      <x:c r="C1" s="4"/>
      <x:c r="D1" s="4"/>
      <x:c r="E1" s="4"/>
      <x:c r="F1" s="4"/>
      <x:c r="G1" s="4"/>
      <x:c r="H1" s="4"/>
    </x:row>
    <x:row r="2" ht="27" customHeight="1">
      <x:c r="A2" s="9" t="str">
        <x:v>2026-07-18 市場スナップショット | 個人所有機器を前提としない選定ガイド</x:v>
      </x:c>
      <x:c r="B2" s="9"/>
      <x:c r="C2" s="9"/>
      <x:c r="D2" s="9"/>
      <x:c r="E2" s="9"/>
      <x:c r="F2" s="9"/>
      <x:c r="G2" s="9"/>
      <x:c r="H2" s="9"/>
    </x:row>
    <x:row r="4">
      <x:c r="A4" s="58" t="str">
        <x:v>主要数値</x:v>
      </x:c>
      <x:c r="B4" s="58"/>
      <x:c r="C4" s="58"/>
      <x:c r="D4" s="58"/>
      <x:c r="E4" s="58"/>
      <x:c r="F4" s="58"/>
      <x:c r="G4" s="58"/>
      <x:c r="H4" s="58"/>
    </x:row>
    <x:row r="5" ht="23" customHeight="1">
      <x:c r="A5" s="65" t="str">
        <x:v>現行モデル</x:v>
      </x:c>
      <x:c r="B5" s="66" t="str"/>
      <x:c r="C5" s="65" t="str">
        <x:v>Last Call</x:v>
      </x:c>
      <x:c r="D5" s="66" t="str"/>
      <x:c r="E5" s="65" t="str">
        <x:v>最安本体価格</x:v>
      </x:c>
      <x:c r="F5" s="66" t="str"/>
      <x:c r="G5" s="65" t="str">
        <x:v>ユースケース</x:v>
      </x:c>
      <x:c r="H5" s="66" t="str"/>
    </x:row>
    <x:row r="6" ht="34" customHeight="1">
      <x:c r="A6" s="73" t="n">
        <x:f>COUNTIF('現行一覧'!D5:D21,"現行")</x:f>
        <x:v>16</x:v>
      </x:c>
      <x:c r="B6" s="74"/>
      <x:c r="C6" s="73" t="n">
        <x:f>COUNTIF('現行一覧'!D5:D21,"Last Call")</x:f>
        <x:v>1</x:v>
      </x:c>
      <x:c r="D6" s="74"/>
      <x:c r="E6" s="75" t="n">
        <x:f>MIN('現行一覧'!E5:E21)</x:f>
        <x:v>99</x:v>
      </x:c>
      <x:c r="F6" s="76"/>
      <x:c r="G6" s="73" t="n">
        <x:v>6</x:v>
      </x:c>
      <x:c r="H6" s="74"/>
    </x:row>
    <x:row r="8">
      <x:c r="A8" s="58" t="str">
        <x:v>一般ユースケース別の推奨</x:v>
      </x:c>
      <x:c r="B8" s="58"/>
      <x:c r="C8" s="58"/>
      <x:c r="D8" s="58"/>
      <x:c r="E8" s="58"/>
      <x:c r="F8" s="58"/>
      <x:c r="G8" s="58"/>
      <x:c r="H8" s="58"/>
    </x:row>
    <x:row r="9">
      <x:c r="A9" s="15" t="str">
        <x:v>No.</x:v>
      </x:c>
      <x:c r="B9" s="15" t="str">
        <x:v>ユースケース</x:v>
      </x:c>
      <x:c r="C9" s="15" t="str">
        <x:v>候補</x:v>
      </x:c>
      <x:c r="D9" s="15" t="str">
        <x:v>価格帯</x:v>
      </x:c>
      <x:c r="E9" s="15" t="str">
        <x:v>適合理由</x:v>
      </x:c>
      <x:c r="F9" s="15" t="str">
        <x:v>注意</x:v>
      </x:c>
    </x:row>
    <x:row r="10" ht="62" customHeight="1">
      <x:c r="A10" s="31" t="n">
        <x:v>1</x:v>
      </x:c>
      <x:c r="B10" s="23" t="str">
        <x:v>CIEM-first</x:v>
      </x:c>
      <x:c r="C10" s="23" t="str">
        <x:v>Magni Unity / Vestri / Gunnr</x:v>
      </x:c>
      <x:c r="D10" s="23" t="str">
        <x:v>$99–229</x:v>
      </x:c>
      <x:c r="E10" s="23" t="str">
        <x:v>低出力インピーダンスと低ノイズを優先。Magniは-10dB、Gunnrはnegative gain、VestriはUSB完結。</x:v>
      </x:c>
      <x:c r="F10" s="23" t="str">
        <x:v>真空管機や高出力Class A機は高感度CIEMで残留ノイズと音量調整域を試聴確認する。</x:v>
      </x:c>
    </x:row>
    <x:row r="11" ht="62" customHeight="1">
      <x:c r="A11" s="32" t="n">
        <x:v>2</x:v>
      </x:c>
      <x:c r="B11" s="26" t="str">
        <x:v>planar/value</x:v>
      </x:c>
      <x:c r="C11" s="26" t="str">
        <x:v>Midgard / Magni Unity</x:v>
      </x:c>
      <x:c r="D11" s="26" t="str">
        <x:v>$119–219</x:v>
      </x:c>
      <x:c r="E11" s="26" t="str">
        <x:v>低〜中インピーダンス平面駆動型へ十分な電流余裕を、比較的低価格で得やすい。</x:v>
      </x:c>
      <x:c r="F11" s="26" t="str">
        <x:v>Midgardの4-pin XLRはHaloであり、真の差動バランス駆動ではない。</x:v>
      </x:c>
    </x:row>
    <x:row r="12" ht="62" customHeight="1">
      <x:c r="A12" s="33" t="n">
        <x:v>3</x:v>
      </x:c>
      <x:c r="B12" s="24" t="str">
        <x:v>true-balanced/high-output</x:v>
      </x:c>
      <x:c r="C12" s="24" t="str">
        <x:v>Jotunheim 3</x:v>
      </x:c>
      <x:c r="D12" s="24" t="str">
        <x:v>$499（Mesh込み$649）</x:v>
      </x:c>
      <x:c r="E12" s="24" t="str">
        <x:v>4-pin XLR/4.4mm真バランス、6W/32Ω、XLR/RCA入出力を一台で得られる。</x:v>
      </x:c>
      <x:c r="F12" s="24" t="str">
        <x:v>大出力やバランス接続が不要なら、より安価なアンプとの差は用途次第。</x:v>
      </x:c>
    </x:row>
    <x:row r="13" ht="62" customHeight="1">
      <x:c r="A13" s="32" t="n">
        <x:v>4</x:v>
      </x:c>
      <x:c r="B13" s="26" t="str">
        <x:v>high-Z/tube</x:v>
      </x:c>
      <x:c r="C13" s="26" t="str">
        <x:v>Valhalla 3 / Vali 3 / Lyr 5</x:v>
      </x:c>
      <x:c r="D13" s="26" t="str">
        <x:v>$149–799</x:v>
      </x:c>
      <x:c r="E13" s="26" t="str">
        <x:v>高インピーダンス動電型にはValhalla 3、低予算の球交換にはVali 3、球/SS切替と大出力にはLyr 5。</x:v>
      </x:c>
      <x:c r="F13" s="26" t="str">
        <x:v>Valhalla 3は高い出力インピーダンスのため、低インピーダンス多BA型や低能率平面駆動型には不向き。</x:v>
      </x:c>
    </x:row>
    <x:row r="14" ht="62" customHeight="1">
      <x:c r="A14" s="33" t="n">
        <x:v>5</x:v>
      </x:c>
      <x:c r="B14" s="24" t="str">
        <x:v>compact all-in-one</x:v>
      </x:c>
      <x:c r="C14" s="24" t="str">
        <x:v>Fulla E / Gunnr / Magni Unity + Mesh / Vestri</x:v>
      </x:c>
      <x:c r="D14" s="24" t="str">
        <x:v>$99–229</x:v>
      </x:c>
      <x:c r="E14" s="24" t="str">
        <x:v>USB中心の小型構成。マイクと光入力はFulla/Gunnr、最小USB構成はVestri、RCA拡張はMagni。</x:v>
      </x:c>
      <x:c r="F14" s="24" t="str">
        <x:v>入力、ゲイン、マイク、バランス出力、外部電源の必要性が製品ごとに異なる。</x:v>
      </x:c>
    </x:row>
    <x:row r="15" ht="62" customHeight="1">
      <x:c r="A15" s="78" t="n">
        <x:v>6</x:v>
      </x:c>
      <x:c r="B15" s="77" t="str">
        <x:v>DAC tiers</x:v>
      </x:c>
      <x:c r="C15" s="77" t="str">
        <x:v>Modi 5 → Mimir → Bifrost 2/64 → Gungnir 2 → Yggdrasil</x:v>
      </x:c>
      <x:c r="D15" s="77" t="str">
        <x:v>$149–3,499</x:v>
      </x:c>
      <x:c r="E15" s="77" t="str">
        <x:v>価格と入力、XLR、DSP/リモート、Multibit/Multiform、筐体規模に応じて段階的に選ぶ。</x:v>
      </x:c>
      <x:c r="F15" s="77" t="str">
        <x:v>高価格は可聴改善を保証しない。必要な入出力、機能、方式を優先して選定する。</x:v>
      </x:c>
    </x:row>
    <x:row r="17">
      <x:c r="A17" s="58" t="str">
        <x:v>日本100V・電源</x:v>
      </x:c>
      <x:c r="B17" s="58"/>
      <x:c r="C17" s="58"/>
      <x:c r="D17" s="58"/>
      <x:c r="E17" s="58"/>
      <x:c r="F17" s="58"/>
      <x:c r="G17" s="58"/>
      <x:c r="H17" s="58"/>
    </x:row>
    <x:row r="18">
      <x:c r="A18" s="93" t="str">
        <x:v>公式の電圧選択は115Vまたは230Vで、日本100Vの定格保証は確認できない。 内部電源機は購入前にSchiitへ100V運用可否を確認する。定格性能を重視する場合は、容量に余裕のある適切な100→115V昇圧トランスを安全基準に従って用いる。これは本調査の保守的提案であり公式指定ではない。</x:v>
      </x:c>
      <x:c r="B18" s="94"/>
      <x:c r="C18" s="94"/>
      <x:c r="D18" s="94"/>
      <x:c r="E18" s="94"/>
      <x:c r="F18" s="94"/>
      <x:c r="G18" s="94"/>
      <x:c r="H18" s="95"/>
    </x:row>
    <x:row r="19">
      <x:c r="A19" s="96"/>
      <x:c r="B19" s="97"/>
      <x:c r="C19" s="97"/>
      <x:c r="D19" s="97"/>
      <x:c r="E19" s="97"/>
      <x:c r="F19" s="97"/>
      <x:c r="G19" s="97"/>
      <x:c r="H19" s="98"/>
    </x:row>
    <x:row r="21">
      <x:c r="A21" s="58" t="str">
        <x:v>選定の原則</x:v>
      </x:c>
      <x:c r="B21" s="58"/>
      <x:c r="C21" s="58"/>
      <x:c r="D21" s="58"/>
      <x:c r="E21" s="58"/>
      <x:c r="F21" s="58"/>
      <x:c r="G21" s="58"/>
      <x:c r="H21" s="58"/>
    </x:row>
    <x:row r="22">
      <x:c r="A22" s="118" t="str">
        <x:v>価格、入出力、電力、電圧、保証などは公式製品ページを一次情報とした。
測定レビュー、専門誌、フォーラムの複数系統を照合し、主観的な音質表現は事実と分離した。
レビュー信頼度は好評価の強さではなく、世代一致、情報量、独立ソース数、長期使用情報の成熟度を表す。
音質差はシステム、音量整合、個体、期待バイアスに左右される。DAC間の可聴差は断定しない。
1（不向き）〜5（非常に向く）の編集評価。公式格付けではない。</x:v>
      </x:c>
      <x:c r="B22" s="119"/>
      <x:c r="C22" s="119"/>
      <x:c r="D22" s="119"/>
      <x:c r="E22" s="119"/>
      <x:c r="F22" s="119"/>
      <x:c r="G22" s="119"/>
      <x:c r="H22" s="120"/>
    </x:row>
    <x:row r="23">
      <x:c r="A23" s="121"/>
      <x:c r="B23" s="122"/>
      <x:c r="C23" s="122"/>
      <x:c r="D23" s="122"/>
      <x:c r="E23" s="122"/>
      <x:c r="F23" s="122"/>
      <x:c r="G23" s="122"/>
      <x:c r="H23" s="123"/>
    </x:row>
    <x:row r="24">
      <x:c r="A24" s="124"/>
      <x:c r="B24" s="125"/>
      <x:c r="C24" s="125"/>
      <x:c r="D24" s="125"/>
      <x:c r="E24" s="125"/>
      <x:c r="F24" s="125"/>
      <x:c r="G24" s="125"/>
      <x:c r="H24" s="126"/>
    </x:row>
  </x:sheetData>
  <x:mergeCells>
    <x:mergeCell ref="A1:H1"/>
    <x:mergeCell ref="A2:H2"/>
    <x:mergeCell ref="A4:H4"/>
    <x:mergeCell ref="A5:B5"/>
    <x:mergeCell ref="C5:D5"/>
    <x:mergeCell ref="E5:F5"/>
    <x:mergeCell ref="G5:H5"/>
    <x:mergeCell ref="A6:B6"/>
    <x:mergeCell ref="C6:D6"/>
    <x:mergeCell ref="E6:F6"/>
    <x:mergeCell ref="G6:H6"/>
    <x:mergeCell ref="A8:H8"/>
    <x:mergeCell ref="A17:H17"/>
    <x:mergeCell ref="A18:H19"/>
    <x:mergeCell ref="A21:H21"/>
    <x:mergeCell ref="A22:H24"/>
  </x:mergeCells>
  <x:pageMargins left="0.7" right="0.7" top="0.75" bottom="0.75" header="0.3" footer="0.3"/>
  <x:tableParts count="1">
    <x:tablePart xmlns:r="http://schemas.openxmlformats.org/officeDocument/2006/relationships" r:id="R6dc81aa7464a45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9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31" hidden="0" customWidth="1"/>
    <x:col min="9" max="9" width="7" hidden="0" customWidth="1"/>
    <x:col min="10" max="10" width="9" hidden="0" customWidth="1"/>
    <x:col min="11" max="11" width="12" hidden="0" customWidth="1"/>
    <x:col min="12" max="12" width="7" hidden="0" customWidth="1"/>
    <x:col min="13" max="13" width="38" hidden="0" customWidth="1"/>
    <x:col min="14" max="14" width="40" hidden="0" customWidth="1"/>
  </x:cols>
  <x:sheetData>
    <x:row r="1" ht="34" customHeight="1">
      <x:c r="A1" s="4" t="str">
        <x:v>現行ラインアップ — 価格・用途別評価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9" t="str">
        <x:v>2026-07-18 時点 | 米国公式新品価格、税・送料・電源対策を含まない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30" customHeight="1">
      <x:c r="A4" s="15" t="str">
        <x:v>No.</x:v>
      </x:c>
      <x:c r="B4" s="15" t="str">
        <x:v>製品</x:v>
      </x:c>
      <x:c r="C4" s="15" t="str">
        <x:v>区分</x:v>
      </x:c>
      <x:c r="D4" s="15" t="str">
        <x:v>状態</x:v>
      </x:c>
      <x:c r="E4" s="15" t="str">
        <x:v>本体価格_USD</x:v>
      </x:c>
      <x:c r="F4" s="15" t="str">
        <x:v>オプション_USD</x:v>
      </x:c>
      <x:c r="G4" s="15" t="str">
        <x:v>構成価格_USD</x:v>
      </x:c>
      <x:c r="H4" s="15" t="str">
        <x:v>価格・構成注記</x:v>
      </x:c>
      <x:c r="I4" s="15" t="str">
        <x:v>IEM</x:v>
      </x:c>
      <x:c r="J4" s="15" t="str">
        <x:v>平面駆動</x:v>
      </x:c>
      <x:c r="K4" s="15" t="str">
        <x:v>高インピーダンス</x:v>
      </x:c>
      <x:c r="L4" s="15" t="str">
        <x:v>価値</x:v>
      </x:c>
      <x:c r="M4" s="15" t="str">
        <x:v>向く用途</x:v>
      </x:c>
      <x:c r="N4" s="15" t="str">
        <x:v>避けたい用途</x:v>
      </x:c>
    </x:row>
    <x:row r="5" ht="48" customHeight="1">
      <x:c r="A5" s="31" t="n">
        <x:v>1</x:v>
      </x:c>
      <x:c r="B5" s="23" t="str">
        <x:v>Vestri</x:v>
      </x:c>
      <x:c r="C5" s="23" t="str">
        <x:v>DAC/amp</x:v>
      </x:c>
      <x:c r="D5" s="31" t="str">
        <x:v>現行</x:v>
      </x:c>
      <x:c r="E5" s="27" t="n">
        <x:v>99</x:v>
      </x:c>
      <x:c r="F5" s="27" t="n">
        <x:v>0</x:v>
      </x:c>
      <x:c r="G5" s="27" t="n">
        <x:f>E5+F5</x:f>
        <x:v>99</x:v>
      </x:c>
      <x:c r="H5" s="23" t="str">
        <x:v>標準構成</x:v>
      </x:c>
      <x:c r="I5" s="36" t="n">
        <x:v>5</x:v>
      </x:c>
      <x:c r="J5" s="38" t="n">
        <x:v>3</x:v>
      </x:c>
      <x:c r="K5" s="38" t="n">
        <x:v>3</x:v>
      </x:c>
      <x:c r="L5" s="36" t="n">
        <x:v>5</x:v>
      </x:c>
      <x:c r="M5" s="23" t="str">
        <x:v>CIEM、持ち運べるUSBデスクトップ、低予算</x:v>
      </x:c>
      <x:c r="N5" s="23" t="str">
        <x:v>アナログ・S/PDIF入力やマイクが必要な用途</x:v>
      </x:c>
    </x:row>
    <x:row r="6" ht="48" customHeight="1">
      <x:c r="A6" s="32" t="n">
        <x:v>2</x:v>
      </x:c>
      <x:c r="B6" s="26" t="str">
        <x:v>Magni Unity</x:v>
      </x:c>
      <x:c r="C6" s="26" t="str">
        <x:v>headphone amp / optional DAC</x:v>
      </x:c>
      <x:c r="D6" s="32" t="str">
        <x:v>現行</x:v>
      </x:c>
      <x:c r="E6" s="28" t="n">
        <x:v>119</x:v>
      </x:c>
      <x:c r="F6" s="28" t="n">
        <x:v>80</x:v>
      </x:c>
      <x:c r="G6" s="28" t="n">
        <x:f>E6+F6</x:f>
        <x:v>199</x:v>
      </x:c>
      <x:c r="H6" s="26" t="str">
        <x:v>factory Mesh +$80。後付けMagni Meshカードは$90。銀色+$10</x:v>
      </x:c>
      <x:c r="I6" s="40" t="n">
        <x:v>5</x:v>
      </x:c>
      <x:c r="J6" s="42" t="n">
        <x:v>4</x:v>
      </x:c>
      <x:c r="K6" s="42" t="n">
        <x:v>4</x:v>
      </x:c>
      <x:c r="L6" s="40" t="n">
        <x:v>5</x:v>
      </x:c>
      <x:c r="M6" s="26" t="str">
        <x:v>敏感なIEMから一般的な平面駆動・高インピーダンス型までの一台</x:v>
      </x:c>
      <x:c r="N6" s="26" t="str">
        <x:v>バランス入出力必須のシステム</x:v>
      </x:c>
    </x:row>
    <x:row r="7" ht="48" customHeight="1">
      <x:c r="A7" s="33" t="n">
        <x:v>3</x:v>
      </x:c>
      <x:c r="B7" s="24" t="str">
        <x:v>Asgard X</x:v>
      </x:c>
      <x:c r="C7" s="24" t="str">
        <x:v>headphone amp / optional DAC</x:v>
      </x:c>
      <x:c r="D7" s="33" t="str">
        <x:v>現行</x:v>
      </x:c>
      <x:c r="E7" s="29" t="n">
        <x:v>399</x:v>
      </x:c>
      <x:c r="F7" s="29" t="n">
        <x:v>150</x:v>
      </x:c>
      <x:c r="G7" s="29" t="n">
        <x:f>E7+F7</x:f>
        <x:v>549</x:v>
      </x:c>
      <x:c r="H7" s="24" t="str">
        <x:v>Mesh +$150、銀色+$30</x:v>
      </x:c>
      <x:c r="I7" s="44" t="n">
        <x:v>3</x:v>
      </x:c>
      <x:c r="J7" s="42" t="n">
        <x:v>4</x:v>
      </x:c>
      <x:c r="K7" s="42" t="n">
        <x:v>4</x:v>
      </x:c>
      <x:c r="L7" s="42" t="n">
        <x:v>4</x:v>
      </x:c>
      <x:c r="M7" s="24" t="str">
        <x:v>有機的な質感、クラスA系の設計、一般的ヘッドホン</x:v>
      </x:c>
      <x:c r="N7" s="24" t="str">
        <x:v>超高感度CIEM、4.4mmを低インピーダンス出力や真バランスとみなす用途</x:v>
      </x:c>
    </x:row>
    <x:row r="8" ht="48" customHeight="1">
      <x:c r="A8" s="32" t="n">
        <x:v>4</x:v>
      </x:c>
      <x:c r="B8" s="26" t="str">
        <x:v>Jotunheim 3</x:v>
      </x:c>
      <x:c r="C8" s="26" t="str">
        <x:v>balanced headphone amp / optional DAC</x:v>
      </x:c>
      <x:c r="D8" s="32" t="str">
        <x:v>現行</x:v>
      </x:c>
      <x:c r="E8" s="28" t="n">
        <x:v>499</x:v>
      </x:c>
      <x:c r="F8" s="28" t="n">
        <x:v>150</x:v>
      </x:c>
      <x:c r="G8" s="28" t="n">
        <x:f>E8+F8</x:f>
        <x:v>649</x:v>
      </x:c>
      <x:c r="H8" s="26" t="str">
        <x:v>Mesh +$150、銀色+$30</x:v>
      </x:c>
      <x:c r="I8" s="42" t="n">
        <x:v>4</x:v>
      </x:c>
      <x:c r="J8" s="40" t="n">
        <x:v>5</x:v>
      </x:c>
      <x:c r="K8" s="40" t="n">
        <x:v>5</x:v>
      </x:c>
      <x:c r="L8" s="42" t="n">
        <x:v>4</x:v>
      </x:c>
      <x:c r="M8" s="26" t="str">
        <x:v>低〜中インピーダンス平面駆動型、真バランス接続、プリアンプ兼用</x:v>
      </x:c>
      <x:c r="N8" s="26" t="str">
        <x:v>負ゲインが必須な超高感度CIEM、最小構成を求める用途</x:v>
      </x:c>
    </x:row>
    <x:row r="9" ht="48" customHeight="1">
      <x:c r="A9" s="33" t="n">
        <x:v>5</x:v>
      </x:c>
      <x:c r="B9" s="24" t="str">
        <x:v>Vali 3</x:v>
      </x:c>
      <x:c r="C9" s="24" t="str">
        <x:v>tube-hybrid headphone amp</x:v>
      </x:c>
      <x:c r="D9" s="33" t="str">
        <x:v>現行</x:v>
      </x:c>
      <x:c r="E9" s="29" t="n">
        <x:v>149</x:v>
      </x:c>
      <x:c r="F9" s="29" t="n">
        <x:v>0</x:v>
      </x:c>
      <x:c r="G9" s="29" t="n">
        <x:f>E9+F9</x:f>
        <x:v>149</x:v>
      </x:c>
      <x:c r="H9" s="24" t="str">
        <x:v>銀色+$10</x:v>
      </x:c>
      <x:c r="I9" s="44" t="n">
        <x:v>3</x:v>
      </x:c>
      <x:c r="J9" s="44" t="n">
        <x:v>3</x:v>
      </x:c>
      <x:c r="K9" s="42" t="n">
        <x:v>4</x:v>
      </x:c>
      <x:c r="L9" s="40" t="n">
        <x:v>5</x:v>
      </x:c>
      <x:c r="M9" s="24" t="str">
        <x:v>低予算で真空管の変化や球交換を楽しむ</x:v>
      </x:c>
      <x:c r="N9" s="24" t="str">
        <x:v>完全無音を求める敏感なCIEM、最大制動を求める低能率平面駆動型</x:v>
      </x:c>
    </x:row>
    <x:row r="10" ht="48" customHeight="1">
      <x:c r="A10" s="32" t="n">
        <x:v>6</x:v>
      </x:c>
      <x:c r="B10" s="26" t="str">
        <x:v>Midgard</x:v>
      </x:c>
      <x:c r="C10" s="26" t="str">
        <x:v>headphone amp</x:v>
      </x:c>
      <x:c r="D10" s="32" t="str">
        <x:v>現行</x:v>
      </x:c>
      <x:c r="E10" s="28" t="n">
        <x:v>219</x:v>
      </x:c>
      <x:c r="F10" s="28" t="n">
        <x:v>0</x:v>
      </x:c>
      <x:c r="G10" s="28" t="n">
        <x:f>E10+F10</x:f>
        <x:v>219</x:v>
      </x:c>
      <x:c r="H10" s="26" t="str">
        <x:v>標準構成</x:v>
      </x:c>
      <x:c r="I10" s="42" t="n">
        <x:v>4</x:v>
      </x:c>
      <x:c r="J10" s="40" t="n">
        <x:v>5</x:v>
      </x:c>
      <x:c r="K10" s="40" t="n">
        <x:v>5</x:v>
      </x:c>
      <x:c r="L10" s="40" t="n">
        <x:v>5</x:v>
      </x:c>
      <x:c r="M10" s="26" t="str">
        <x:v>平面駆動型を含む一般ヘッドホン、低価格で大出力、XLR/RCAプリアンプ、Halo比較</x:v>
      </x:c>
      <x:c r="N10" s="26" t="str">
        <x:v>4ピンXLRを真バランス駆動とする構成</x:v>
      </x:c>
    </x:row>
    <x:row r="11" ht="48" customHeight="1">
      <x:c r="A11" s="33" t="n">
        <x:v>7</x:v>
      </x:c>
      <x:c r="B11" s="24" t="str">
        <x:v>Valhalla 3</x:v>
      </x:c>
      <x:c r="C11" s="24" t="str">
        <x:v>OTL tube headphone amp</x:v>
      </x:c>
      <x:c r="D11" s="33" t="str">
        <x:v>現行</x:v>
      </x:c>
      <x:c r="E11" s="29" t="n">
        <x:v>499</x:v>
      </x:c>
      <x:c r="F11" s="29" t="n">
        <x:v>0</x:v>
      </x:c>
      <x:c r="G11" s="29" t="n">
        <x:f>E11+F11</x:f>
        <x:v>499</x:v>
      </x:c>
      <x:c r="H11" s="24" t="str">
        <x:v>銀色+$30</x:v>
      </x:c>
      <x:c r="I11" s="46" t="n">
        <x:v>1</x:v>
      </x:c>
      <x:c r="J11" s="48" t="n">
        <x:v>2</x:v>
      </x:c>
      <x:c r="K11" s="40" t="n">
        <x:v>5</x:v>
      </x:c>
      <x:c r="L11" s="42" t="n">
        <x:v>4</x:v>
      </x:c>
      <x:c r="M11" s="24" t="str">
        <x:v>HD600/800系など高インピーダンス動電型、OTLの空間と減衰感</x:v>
      </x:c>
      <x:c r="N11" s="24" t="str">
        <x:v>CIEM、低インピーダンス多BA、低能率平面駆動型</x:v>
      </x:c>
    </x:row>
    <x:row r="12" ht="48" customHeight="1">
      <x:c r="A12" s="32" t="n">
        <x:v>8</x:v>
      </x:c>
      <x:c r="B12" s="26" t="str">
        <x:v>Lyr 5</x:v>
      </x:c>
      <x:c r="C12" s="26" t="str">
        <x:v>tube-hybrid / solid-state headphone amp</x:v>
      </x:c>
      <x:c r="D12" s="32" t="str">
        <x:v>現行</x:v>
      </x:c>
      <x:c r="E12" s="28" t="n">
        <x:v>799</x:v>
      </x:c>
      <x:c r="F12" s="28" t="n">
        <x:v>0</x:v>
      </x:c>
      <x:c r="G12" s="28" t="n">
        <x:f>E12+F12</x:f>
        <x:v>799</x:v>
      </x:c>
      <x:c r="H12" s="26" t="str">
        <x:v>銀色+$30。6N8SとForkbeard同梱</x:v>
      </x:c>
      <x:c r="I12" s="44" t="n">
        <x:v>3</x:v>
      </x:c>
      <x:c r="J12" s="40" t="n">
        <x:v>5</x:v>
      </x:c>
      <x:c r="K12" s="40" t="n">
        <x:v>5</x:v>
      </x:c>
      <x:c r="L12" s="42" t="n">
        <x:v>4</x:v>
      </x:c>
      <x:c r="M12" s="26" t="str">
        <x:v>一台で球とSSを切替、大出力、リモート音量を求める</x:v>
      </x:c>
      <x:c r="N12" s="26" t="str">
        <x:v>真バランス必須、超高感度CIEMの完全無音を最優先</x:v>
      </x:c>
    </x:row>
    <x:row r="13" ht="48" customHeight="1">
      <x:c r="A13" s="33" t="n">
        <x:v>9</x:v>
      </x:c>
      <x:c r="B13" s="24" t="str">
        <x:v>Mjolnir 3</x:v>
      </x:c>
      <x:c r="C13" s="24" t="str">
        <x:v>balanced class-A headphone amp</x:v>
      </x:c>
      <x:c r="D13" s="33" t="str">
        <x:v>現行</x:v>
      </x:c>
      <x:c r="E13" s="29" t="n">
        <x:v>1199</x:v>
      </x:c>
      <x:c r="F13" s="29" t="n">
        <x:v>0</x:v>
      </x:c>
      <x:c r="G13" s="29" t="n">
        <x:f>E13+F13</x:f>
        <x:v>1199</x:v>
      </x:c>
      <x:c r="H13" s="24" t="str">
        <x:v>銀色+$100</x:v>
      </x:c>
      <x:c r="I13" s="46" t="n">
        <x:v>1</x:v>
      </x:c>
      <x:c r="J13" s="40" t="n">
        <x:v>5</x:v>
      </x:c>
      <x:c r="K13" s="40" t="n">
        <x:v>5</x:v>
      </x:c>
      <x:c r="L13" s="44" t="n">
        <x:v>3</x:v>
      </x:c>
      <x:c r="M13" s="24" t="str">
        <x:v>中〜高能率平面駆動、高インピーダンス型、Class Aの質感とレイヤリング</x:v>
      </x:c>
      <x:c r="N13" s="24" t="str">
        <x:v>敏感なIEM、省スペース、省電力、最大数値出力だけを求める用途</x:v>
      </x:c>
    </x:row>
    <x:row r="14" ht="48" customHeight="1">
      <x:c r="A14" s="32" t="n">
        <x:v>10</x:v>
      </x:c>
      <x:c r="B14" s="26" t="str">
        <x:v>Modi 5</x:v>
      </x:c>
      <x:c r="C14" s="26" t="str">
        <x:v>DAC</x:v>
      </x:c>
      <x:c r="D14" s="32" t="str">
        <x:v>現行</x:v>
      </x:c>
      <x:c r="E14" s="28" t="n">
        <x:v>149</x:v>
      </x:c>
      <x:c r="F14" s="28" t="n">
        <x:v>12</x:v>
      </x:c>
      <x:c r="G14" s="28" t="n">
        <x:f>E14+F14</x:f>
        <x:v>161</x:v>
      </x:c>
      <x:c r="H14" s="26" t="str">
        <x:v>AC wall-wart +$12、銀色+$10</x:v>
      </x:c>
      <x:c r="I14" s="49"/>
      <x:c r="J14" s="49"/>
      <x:c r="K14" s="49"/>
      <x:c r="L14" s="40" t="n">
        <x:v>5</x:v>
      </x:c>
      <x:c r="M14" s="26" t="str">
        <x:v>低価格のUSB/光/同軸DAC、Magni等との小型スタック</x:v>
      </x:c>
      <x:c r="N14" s="26" t="str">
        <x:v>XLR、AES、DSD、リモート、Forkbeardが必要な用途</x:v>
      </x:c>
    </x:row>
    <x:row r="15" ht="48" customHeight="1">
      <x:c r="A15" s="33" t="n">
        <x:v>11</x:v>
      </x:c>
      <x:c r="B15" s="24" t="str">
        <x:v>Mimir</x:v>
      </x:c>
      <x:c r="C15" s="24" t="str">
        <x:v>balanced DAC</x:v>
      </x:c>
      <x:c r="D15" s="33" t="str">
        <x:v>現行</x:v>
      </x:c>
      <x:c r="E15" s="29" t="n">
        <x:v>299</x:v>
      </x:c>
      <x:c r="F15" s="29" t="n">
        <x:v>50</x:v>
      </x:c>
      <x:c r="G15" s="29" t="n">
        <x:f>E15+F15</x:f>
        <x:v>349</x:v>
      </x:c>
      <x:c r="H15" s="24" t="str">
        <x:v>Forkbeard +$50、銀色+$20</x:v>
      </x:c>
      <x:c r="I15" s="49"/>
      <x:c r="J15" s="49"/>
      <x:c r="K15" s="49"/>
      <x:c r="L15" s="40" t="n">
        <x:v>5</x:v>
      </x:c>
      <x:c r="M15" s="24" t="str">
        <x:v>Jotunheim 3等へのXLR接続、多入力、独立DAC、任意のDSP/リモート</x:v>
      </x:c>
      <x:c r="N15" s="24" t="str">
        <x:v>R2R/Multibit方式そのものを目的とする場合、DSD必須</x:v>
      </x:c>
    </x:row>
    <x:row r="16" ht="48" customHeight="1">
      <x:c r="A16" s="32" t="n">
        <x:v>12</x:v>
      </x:c>
      <x:c r="B16" s="26" t="str">
        <x:v>Bifrost 2/64</x:v>
      </x:c>
      <x:c r="C16" s="26" t="str">
        <x:v>true multibit balanced DAC</x:v>
      </x:c>
      <x:c r="D16" s="32" t="str">
        <x:v>現行</x:v>
      </x:c>
      <x:c r="E16" s="28" t="n">
        <x:v>799</x:v>
      </x:c>
      <x:c r="F16" s="28" t="n">
        <x:v>0</x:v>
      </x:c>
      <x:c r="G16" s="28" t="n">
        <x:f>E16+F16</x:f>
        <x:v>799</x:v>
      </x:c>
      <x:c r="H16" s="26" t="str">
        <x:v>銀色+$30</x:v>
      </x:c>
      <x:c r="I16" s="49"/>
      <x:c r="J16" s="49"/>
      <x:c r="K16" s="49"/>
      <x:c r="L16" s="44" t="n">
        <x:v>3</x:v>
      </x:c>
      <x:c r="M16" s="26" t="str">
        <x:v>Multibitの設計思想、NOS切替、Jotunheim等との本格スタック</x:v>
      </x:c>
      <x:c r="N16" s="26" t="str">
        <x:v>音量リモート、AES、DSD、最優先の価格性能</x:v>
      </x:c>
    </x:row>
    <x:row r="17" ht="48" customHeight="1">
      <x:c r="A17" s="33" t="n">
        <x:v>13</x:v>
      </x:c>
      <x:c r="B17" s="24" t="str">
        <x:v>Gungnir 2</x:v>
      </x:c>
      <x:c r="C17" s="24" t="str">
        <x:v>balanced multiform DAC</x:v>
      </x:c>
      <x:c r="D17" s="33" t="str">
        <x:v>現行</x:v>
      </x:c>
      <x:c r="E17" s="29" t="n">
        <x:v>1599</x:v>
      </x:c>
      <x:c r="F17" s="29" t="n">
        <x:v>0</x:v>
      </x:c>
      <x:c r="G17" s="29" t="n">
        <x:f>E17+F17</x:f>
        <x:v>1599</x:v>
      </x:c>
      <x:c r="H17" s="24" t="str">
        <x:v>表示価格はForkbeard込み。なしは-$50、銀色+$50</x:v>
      </x:c>
      <x:c r="I17" s="49"/>
      <x:c r="J17" s="49"/>
      <x:c r="K17" s="49"/>
      <x:c r="L17" s="44" t="n">
        <x:v>3</x:v>
      </x:c>
      <x:c r="M17" s="24" t="str">
        <x:v>多入力、PEQ/プリアンプ、Multiform、上位バランスシステム</x:v>
      </x:c>
      <x:c r="N17" s="24" t="str">
        <x:v>DSD、低予算、省スペース</x:v>
      </x:c>
    </x:row>
    <x:row r="18" ht="48" customHeight="1">
      <x:c r="A18" s="32" t="n">
        <x:v>14</x:v>
      </x:c>
      <x:c r="B18" s="26" t="str">
        <x:v>Yggdrasil</x:v>
      </x:c>
      <x:c r="C18" s="26" t="str">
        <x:v>flagship balanced DAC</x:v>
      </x:c>
      <x:c r="D18" s="32" t="str">
        <x:v>現行</x:v>
      </x:c>
      <x:c r="E18" s="28" t="n">
        <x:v>2299</x:v>
      </x:c>
      <x:c r="F18" s="28" t="n">
        <x:v>1200</x:v>
      </x:c>
      <x:c r="G18" s="28" t="n">
        <x:f>E18+F18</x:f>
        <x:v>3499</x:v>
      </x:c>
      <x:c r="H18" s="26" t="str">
        <x:v>LIM $2299黒/$2399銀。Singular $3499黒/$3599銀</x:v>
      </x:c>
      <x:c r="I18" s="49"/>
      <x:c r="J18" s="49"/>
      <x:c r="K18" s="49"/>
      <x:c r="L18" s="48" t="n">
        <x:v>2</x:v>
      </x:c>
      <x:c r="M18" s="26" t="str">
        <x:v>価格より設計思想、筐体、上位システム統合を優先。LIMは滑らかさ、Singularは新方式とForkbeard。</x:v>
      </x:c>
      <x:c r="N18" s="26" t="str">
        <x:v>費用対効果、DSD、省スペース、DAC差を確実な改善として買う用途</x:v>
      </x:c>
    </x:row>
    <x:row r="19" ht="48" customHeight="1">
      <x:c r="A19" s="33" t="n">
        <x:v>15</x:v>
      </x:c>
      <x:c r="B19" s="24" t="str">
        <x:v>Fulla E</x:v>
      </x:c>
      <x:c r="C19" s="24" t="str">
        <x:v>DAC/amp</x:v>
      </x:c>
      <x:c r="D19" s="33" t="str">
        <x:v>現行</x:v>
      </x:c>
      <x:c r="E19" s="29" t="n">
        <x:v>109</x:v>
      </x:c>
      <x:c r="F19" s="29" t="n">
        <x:v>0</x:v>
      </x:c>
      <x:c r="G19" s="29" t="n">
        <x:f>E19+F19</x:f>
        <x:v>109</x:v>
      </x:c>
      <x:c r="H19" s="24" t="str">
        <x:v>標準構成</x:v>
      </x:c>
      <x:c r="I19" s="44" t="n">
        <x:v>3</x:v>
      </x:c>
      <x:c r="J19" s="48" t="n">
        <x:v>2</x:v>
      </x:c>
      <x:c r="K19" s="48" t="n">
        <x:v>2</x:v>
      </x:c>
      <x:c r="L19" s="42" t="n">
        <x:v>4</x:v>
      </x:c>
      <x:c r="M19" s="24" t="str">
        <x:v>PC、光入力、ヘッドセットマイク、簡単な一体型</x:v>
      </x:c>
      <x:c r="N19" s="24" t="str">
        <x:v>低能率平面駆動、高出力、アナログライン入力、ゲイン切替</x:v>
      </x:c>
    </x:row>
    <x:row r="20" ht="48" customHeight="1">
      <x:c r="A20" s="32" t="n">
        <x:v>16</x:v>
      </x:c>
      <x:c r="B20" s="26" t="str">
        <x:v>Gunnr</x:v>
      </x:c>
      <x:c r="C20" s="26" t="str">
        <x:v>gaming DAC/amp</x:v>
      </x:c>
      <x:c r="D20" s="32" t="str">
        <x:v>現行</x:v>
      </x:c>
      <x:c r="E20" s="28" t="n">
        <x:v>229</x:v>
      </x:c>
      <x:c r="F20" s="28" t="n">
        <x:v>0</x:v>
      </x:c>
      <x:c r="G20" s="28" t="n">
        <x:f>E20+F20</x:f>
        <x:v>229</x:v>
      </x:c>
      <x:c r="H20" s="26" t="str">
        <x:v>AC込み。ACなし-$15で$214</x:v>
      </x:c>
      <x:c r="I20" s="40" t="n">
        <x:v>5</x:v>
      </x:c>
      <x:c r="J20" s="42" t="n">
        <x:v>4</x:v>
      </x:c>
      <x:c r="K20" s="44" t="n">
        <x:v>3</x:v>
      </x:c>
      <x:c r="L20" s="42" t="n">
        <x:v>4</x:v>
      </x:c>
      <x:c r="M20" s="26" t="str">
        <x:v>CIEM、PCゲーム、マイク、音場・プレゼンス調整、一般ヘッドホン</x:v>
      </x:c>
      <x:c r="N20" s="26" t="str">
        <x:v>純粋なビットパーフェクト固定経路だけを求める、Xbox USB接続</x:v>
      </x:c>
    </x:row>
    <x:row r="21" ht="48" customHeight="1">
      <x:c r="A21" s="34" t="n">
        <x:v>17</x:v>
      </x:c>
      <x:c r="B21" s="25" t="str">
        <x:v>Lyr+ Last Call</x:v>
      </x:c>
      <x:c r="C21" s="25" t="str">
        <x:v>tube-hybrid / solid-state headphone amp</x:v>
      </x:c>
      <x:c r="D21" s="34" t="str">
        <x:v>Last Call</x:v>
      </x:c>
      <x:c r="E21" s="30" t="n">
        <x:v>449</x:v>
      </x:c>
      <x:c r="F21" s="30" t="n">
        <x:v>50</x:v>
      </x:c>
      <x:c r="G21" s="30" t="n">
        <x:f>E21+F21</x:f>
        <x:v>499</x:v>
      </x:c>
      <x:c r="H21" s="25" t="str">
        <x:v>真空管なし$449、premium 6SN7 +$50、銀色+$30</x:v>
      </x:c>
      <x:c r="I21" s="51" t="n">
        <x:v>2</x:v>
      </x:c>
      <x:c r="J21" s="53" t="n">
        <x:v>5</x:v>
      </x:c>
      <x:c r="K21" s="55" t="n">
        <x:v>4</x:v>
      </x:c>
      <x:c r="L21" s="53" t="n">
        <x:v>5</x:v>
      </x:c>
      <x:c r="M21" s="25" t="str">
        <x:v>在庫限り価格で大出力と6SN7/SS切替を得たい人</x:v>
      </x:c>
      <x:c r="N21" s="25" t="str">
        <x:v>長期の現行プラットフォーム、敏感なCIEM、後継Lyr 5のForkbeard/Haloが必要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6a5b74fc20e44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9" hidden="0" customWidth="1"/>
    <x:col min="3" max="3" width="16" hidden="0" customWidth="1"/>
    <x:col min="4" max="4" width="11" hidden="0" customWidth="1"/>
    <x:col min="5" max="5" width="40" hidden="0" customWidth="1"/>
    <x:col min="6" max="6" width="31" hidden="0" customWidth="1"/>
    <x:col min="7" max="7" width="26" hidden="0" customWidth="1"/>
    <x:col min="8" max="8" width="25" hidden="0" customWidth="1"/>
    <x:col min="9" max="9" width="29" hidden="0" customWidth="1"/>
    <x:col min="10" max="10" width="38" hidden="0" customWidth="1"/>
    <x:col min="11" max="11" width="24" hidden="0" customWidth="1"/>
    <x:col min="12" max="12" width="13" hidden="0" customWidth="1"/>
    <x:col min="13" max="13" width="16" hidden="0" customWidth="1"/>
    <x:col min="14" max="14" width="15" hidden="0" customWidth="1"/>
    <x:col min="15" max="15" width="29" hidden="0" customWidth="1"/>
    <x:col min="16" max="16" width="23" hidden="0" customWidth="1"/>
    <x:col min="17" max="17" width="55" hidden="0" customWidth="1"/>
  </x:cols>
  <x:sheetData>
    <x:row r="1" ht="34" customHeight="1">
      <x:c r="A1" s="4" t="str">
        <x:v>公式仕様 — 回路・入出力・電源・保証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9" t="str">
        <x:v>バランス端子と真の差動駆動を分け、日本100Vの公式未確認事項も明示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4" ht="30" customHeight="1">
      <x:c r="A4" s="15" t="str">
        <x:v>No.</x:v>
      </x:c>
      <x:c r="B4" s="15" t="str">
        <x:v>製品</x:v>
      </x:c>
      <x:c r="C4" s="15" t="str">
        <x:v>形態</x:v>
      </x:c>
      <x:c r="D4" s="15" t="str">
        <x:v>状態</x:v>
      </x:c>
      <x:c r="E4" s="15" t="str">
        <x:v>アーキテクチャ/DAC</x:v>
      </x:c>
      <x:c r="F4" s="15" t="str">
        <x:v>入力</x:v>
      </x:c>
      <x:c r="G4" s="15" t="str">
        <x:v>ヘッドホン出力</x:v>
      </x:c>
      <x:c r="H4" s="15" t="str">
        <x:v>ライン/プリ出力</x:v>
      </x:c>
      <x:c r="I4" s="15" t="str">
        <x:v>バランス実態</x:v>
      </x:c>
      <x:c r="J4" s="15" t="str">
        <x:v>出力要約</x:v>
      </x:c>
      <x:c r="K4" s="15" t="str">
        <x:v>ゲイン</x:v>
      </x:c>
      <x:c r="L4" s="15" t="str">
        <x:v>出力Z_Ω</x:v>
      </x:c>
      <x:c r="M4" s="15" t="str">
        <x:v>SNR_dB</x:v>
      </x:c>
      <x:c r="N4" s="15" t="str">
        <x:v>THD</x:v>
      </x:c>
      <x:c r="O4" s="15" t="str">
        <x:v>給電/電圧</x:v>
      </x:c>
      <x:c r="P4" s="15" t="str">
        <x:v>日本100V</x:v>
      </x:c>
      <x:c r="Q4" s="15" t="str">
        <x:v>保証・公式URL</x:v>
      </x:c>
    </x:row>
    <x:row r="5" ht="64" customHeight="1">
      <x:c r="A5" s="31" t="n">
        <x:v>1</x:v>
      </x:c>
      <x:c r="B5" s="23" t="str">
        <x:v>Vestri</x:v>
      </x:c>
      <x:c r="C5" s="23" t="str">
        <x:v>USB dongle/desktop</x:v>
      </x:c>
      <x:c r="D5" s="31" t="str">
        <x:v>現行</x:v>
      </x:c>
      <x:c r="E5" s="23" t="str">
        <x:v>Mesh ES9018 + Unison USB + OPA1656×2。4.4mmは真のバランス。</x:v>
      </x:c>
      <x:c r="F5" s="23" t="str">
        <x:v>USB-C</x:v>
      </x:c>
      <x:c r="G5" s="23" t="str">
        <x:v>4.4mm balanced / 3.5mm SE</x:v>
      </x:c>
      <x:c r="H5" s="23" t="str">
        <x:v>なし</x:v>
      </x:c>
      <x:c r="I5" s="23" t="str">
        <x:v>真バランス・ヘッドホン駆動</x:v>
      </x:c>
      <x:c r="J5" s="23" t="str">
        <x:v>32Ω: 0.4W balanced / 0.2W SE; 50Ω: 0.32/0.15W; 300Ω: 0.12/0.04W</x:v>
      </x:c>
      <x:c r="K5" s="23" t="str">
        <x:v>タッチ音量、Loudness、NOS、位相反転</x:v>
      </x:c>
      <x:c r="L5" s="31" t="str">
        <x:v>&lt;0.5</x:v>
      </x:c>
      <x:c r="M5" s="31" t="str">
        <x:v>&gt;118</x:v>
      </x:c>
      <x:c r="N5" s="31" t="str">
        <x:v>&lt;0.0002%</x:v>
      </x:c>
      <x:c r="O5" s="31" t="str">
        <x:v>USB-Cバスパワー</x:v>
      </x:c>
      <x:c r="P5" s="31" t="str">
        <x:v>地域非依存（USB給電）</x:v>
      </x:c>
      <x:c r="Q5" s="23" t="str">
        <x:v>2年
https://www.schiit.com/products/vestri</x:v>
      </x:c>
    </x:row>
    <x:row r="6" ht="64" customHeight="1">
      <x:c r="A6" s="32" t="n">
        <x:v>2</x:v>
      </x:c>
      <x:c r="B6" s="26" t="str">
        <x:v>Magni Unity</x:v>
      </x:c>
      <x:c r="C6" s="26" t="str">
        <x:v>compact desktop</x:v>
      </x:c>
      <x:c r="D6" s="32" t="str">
        <x:v>現行</x:v>
      </x:c>
      <x:c r="E6" s="26" t="str">
        <x:v>ディスクリート電流帰還、シングルエンド。現行公式はMeshカードのDACチップ型番を明記していない。</x:v>
      </x:c>
      <x:c r="F6" s="26" t="str">
        <x:v>USB-C when Mesh installed / RCA</x:v>
      </x:c>
      <x:c r="G6" s="26" t="str">
        <x:v>6.3mm SE</x:v>
      </x:c>
      <x:c r="H6" s="26" t="str">
        <x:v>RCA variable</x:v>
      </x:c>
      <x:c r="I6" s="26" t="str">
        <x:v>シングルエンド</x:v>
      </x:c>
      <x:c r="J6" s="26" t="str">
        <x:v>16Ω 3W; 32Ω 2.5W; 50Ω 1.5W; 300Ω 0.415W; 600Ω 0.22W</x:v>
      </x:c>
      <x:c r="K6" s="26" t="str">
        <x:v>0.3x (-10dB) / 1x / 5x</x:v>
      </x:c>
      <x:c r="L6" s="32" t="str">
        <x:v>&lt;0.1</x:v>
      </x:c>
      <x:c r="M6" s="32" t="str">
        <x:v>&gt;122 low / &gt;112 high</x:v>
      </x:c>
      <x:c r="N6" s="32"/>
      <x:c r="O6" s="32" t="str">
        <x:v>14–16VAC外部ACアダプター</x:v>
      </x:c>
      <x:c r="P6" s="32" t="str">
        <x:v>公式100V定格なし。購入前に要確認</x:v>
      </x:c>
      <x:c r="Q6" s="26" t="str">
        <x:v>3年
https://www.schiit.com/products/magni-unity
https://www.schiit.com/products/magni-unity-mesh-dac</x:v>
      </x:c>
    </x:row>
    <x:row r="7" ht="64" customHeight="1">
      <x:c r="A7" s="33" t="n">
        <x:v>3</x:v>
      </x:c>
      <x:c r="B7" s="24" t="str">
        <x:v>Asgard X</x:v>
      </x:c>
      <x:c r="C7" s="24" t="str">
        <x:v>desktop</x:v>
      </x:c>
      <x:c r="D7" s="33" t="str">
        <x:v>現行</x:v>
      </x:c>
      <x:c r="E7" s="24" t="str">
        <x:v>ゼロフィードバックContinuity A。4.4mmはHalo Xで、真のバランスではない。MeshはES9028/Unison USB 384。</x:v>
      </x:c>
      <x:c r="F7" s="24" t="str">
        <x:v>USB-C when Mesh installed / RCA</x:v>
      </x:c>
      <x:c r="G7" s="24" t="str">
        <x:v>6.3mm SE / 4.4mm Halo X</x:v>
      </x:c>
      <x:c r="H7" s="24" t="str">
        <x:v>RCA variable</x:v>
      </x:c>
      <x:c r="I7" s="24" t="str">
        <x:v>端子/Haloあり、真の差動バランス駆動ではない</x:v>
      </x:c>
      <x:c r="J7" s="24" t="str">
        <x:v>両出力: 16Ω 3.4W; 32Ω 2.8W; 50Ω 1.9W; 300Ω 0.38W; 600Ω 0.2W</x:v>
      </x:c>
      <x:c r="K7" s="24" t="str">
        <x:v>1x / 4.5x</x:v>
      </x:c>
      <x:c r="L7" s="33" t="str">
        <x:v>0.7 normal / 3.5 Halo</x:v>
      </x:c>
      <x:c r="M7" s="33" t="str">
        <x:v>&gt;110 low / &gt;108 high</x:v>
      </x:c>
      <x:c r="N7" s="33"/>
      <x:c r="O7" s="33" t="str">
        <x:v>内部115V/230V固定</x:v>
      </x:c>
      <x:c r="P7" s="33" t="str">
        <x:v>公式100V定格なし。購入前に要確認</x:v>
      </x:c>
      <x:c r="Q7" s="24" t="str">
        <x:v>5年
https://www.schiit.com/products/asgard-x
https://www.schiit.com/products/mesh-dac-card</x:v>
      </x:c>
    </x:row>
    <x:row r="8" ht="64" customHeight="1">
      <x:c r="A8" s="32" t="n">
        <x:v>4</x:v>
      </x:c>
      <x:c r="B8" s="26" t="str">
        <x:v>Jotunheim 3</x:v>
      </x:c>
      <x:c r="C8" s="26" t="str">
        <x:v>desktop</x:v>
      </x:c>
      <x:c r="D8" s="32" t="str">
        <x:v>現行</x:v>
      </x:c>
      <x:c r="E8" s="26" t="str">
        <x:v>Prime真バランス。MeshはES9028。</x:v>
      </x:c>
      <x:c r="F8" s="26" t="str">
        <x:v>USB-C when Mesh installed / XLR / RCA</x:v>
      </x:c>
      <x:c r="G8" s="26" t="str">
        <x:v>4-pin XLR balanced / 4.4mm balanced / 6.3mm SE</x:v>
      </x:c>
      <x:c r="H8" s="26" t="str">
        <x:v>XLR variable / RCA variable</x:v>
      </x:c>
      <x:c r="I8" s="26" t="str">
        <x:v>真バランス・ヘッドホン駆動</x:v>
      </x:c>
      <x:c r="J8" s="26" t="str">
        <x:v>balanced: 16Ω 7.5W, 32Ω 6W, 50Ω 4W, 300Ω 1.2W, 600Ω 0.6W; SE: 2.4/2/1.2/0.33/0.165W</x:v>
      </x:c>
      <x:c r="K8" s="26" t="str">
        <x:v>1x / 6x</x:v>
      </x:c>
      <x:c r="L8" s="32" t="str">
        <x:v>&lt;0.8 balanced / &lt;0.4 SE</x:v>
      </x:c>
      <x:c r="M8" s="32" t="str">
        <x:v>&gt;128 balanced / &gt;124 SE</x:v>
      </x:c>
      <x:c r="N8" s="32"/>
      <x:c r="O8" s="32" t="str">
        <x:v>内部115V/230V固定</x:v>
      </x:c>
      <x:c r="P8" s="32" t="str">
        <x:v>公式100V定格なし。購入前に要確認</x:v>
      </x:c>
      <x:c r="Q8" s="26" t="str">
        <x:v>5年
https://www.schiit.com/products/jotunheim-3
https://www.schiit.com/products/mesh-dac-card</x:v>
      </x:c>
    </x:row>
    <x:row r="9" ht="64" customHeight="1">
      <x:c r="A9" s="33" t="n">
        <x:v>5</x:v>
      </x:c>
      <x:c r="B9" s="24" t="str">
        <x:v>Vali 3</x:v>
      </x:c>
      <x:c r="C9" s="24" t="str">
        <x:v>compact desktop</x:v>
      </x:c>
      <x:c r="D9" s="33" t="str">
        <x:v>現行</x:v>
      </x:c>
      <x:c r="E9" s="24" t="str">
        <x:v>6N3P単球ハイブリッド、シングルエンド。</x:v>
      </x:c>
      <x:c r="F9" s="24" t="str">
        <x:v>RCA</x:v>
      </x:c>
      <x:c r="G9" s="24" t="str">
        <x:v>6.3mm SE</x:v>
      </x:c>
      <x:c r="H9" s="24" t="str">
        <x:v>RCA variable</x:v>
      </x:c>
      <x:c r="I9" s="24" t="str">
        <x:v>シングルエンド</x:v>
      </x:c>
      <x:c r="J9" s="24" t="str">
        <x:v>32Ω 1.5W; 50Ω 1W; 300Ω 0.4W; 600Ω 0.2W（&lt;10% THD条件）</x:v>
      </x:c>
      <x:c r="K9" s="24" t="str">
        <x:v>1x / 5x</x:v>
      </x:c>
      <x:c r="L9" s="33" t="str">
        <x:v>0.5 low / 1.8 high</x:v>
      </x:c>
      <x:c r="M9" s="33" t="str">
        <x:v>117 low / 105 high</x:v>
      </x:c>
      <x:c r="N9" s="33" t="str">
        <x:v>出力値は&lt;10% THD条件</x:v>
      </x:c>
      <x:c r="O9" s="33" t="str">
        <x:v>14–16VAC外部ACアダプター</x:v>
      </x:c>
      <x:c r="P9" s="33" t="str">
        <x:v>公式100V定格なし。購入前に要確認</x:v>
      </x:c>
      <x:c r="Q9" s="24" t="str">
        <x:v>2年、真空管90日
https://www.schiit.com/products/vali3</x:v>
      </x:c>
    </x:row>
    <x:row r="10" ht="64" customHeight="1">
      <x:c r="A10" s="32" t="n">
        <x:v>6</x:v>
      </x:c>
      <x:c r="B10" s="26" t="str">
        <x:v>Midgard</x:v>
      </x:c>
      <x:c r="C10" s="26" t="str">
        <x:v>desktop</x:v>
      </x:c>
      <x:c r="D10" s="32" t="str">
        <x:v>現行</x:v>
      </x:c>
      <x:c r="E10" s="26" t="str">
        <x:v>内部はシングルエンド。XLR入力対応だが、4ピンXLRヘッドホン出力はHaloで真バランスではない。</x:v>
      </x:c>
      <x:c r="F10" s="26" t="str">
        <x:v>XLR / RCA</x:v>
      </x:c>
      <x:c r="G10" s="26" t="str">
        <x:v>6.3mm SE / 4-pin XLR Halo</x:v>
      </x:c>
      <x:c r="H10" s="26" t="str">
        <x:v>XLR variable / RCA variable</x:v>
      </x:c>
      <x:c r="I10" s="26" t="str">
        <x:v>端子/Haloあり、真の差動バランス駆動ではない</x:v>
      </x:c>
      <x:c r="J10" s="26" t="str">
        <x:v>両出力: 16Ω 5.5W; 32Ω 4.8W; 50Ω 3.2W; 300Ω 0.75W; 600Ω 0.375W</x:v>
      </x:c>
      <x:c r="K10" s="26" t="str">
        <x:v>1x / 5x</x:v>
      </x:c>
      <x:c r="L10" s="32" t="str">
        <x:v>&lt;0.1 normal / 約2 Halo</x:v>
      </x:c>
      <x:c r="M10" s="32" t="str">
        <x:v>128 low / 118 high</x:v>
      </x:c>
      <x:c r="N10" s="32"/>
      <x:c r="O10" s="32" t="str">
        <x:v>外部ACアダプター</x:v>
      </x:c>
      <x:c r="P10" s="32" t="str">
        <x:v>公式100V定格なし。購入前に要確認</x:v>
      </x:c>
      <x:c r="Q10" s="26" t="str">
        <x:v>3年
https://www.schiit.com/products/midgard</x:v>
      </x:c>
    </x:row>
    <x:row r="11" ht="64" customHeight="1">
      <x:c r="A11" s="33" t="n">
        <x:v>7</x:v>
      </x:c>
      <x:c r="B11" s="24" t="str">
        <x:v>Valhalla 3</x:v>
      </x:c>
      <x:c r="C11" s="24" t="str">
        <x:v>desktop</x:v>
      </x:c>
      <x:c r="D11" s="33" t="str">
        <x:v>現行</x:v>
      </x:c>
      <x:c r="E11" s="24" t="str">
        <x:v>全段三極管OTL/OCL、シングルエンド。</x:v>
      </x:c>
      <x:c r="F11" s="24" t="str">
        <x:v>RCA</x:v>
      </x:c>
      <x:c r="G11" s="24" t="str">
        <x:v>6.3mm SE</x:v>
      </x:c>
      <x:c r="H11" s="24" t="str">
        <x:v>RCA variable</x:v>
      </x:c>
      <x:c r="I11" s="24" t="str">
        <x:v>シングルエンド</x:v>
      </x:c>
      <x:c r="J11" s="24" t="str">
        <x:v>32Ω 0.75W（multiplier使用）; 300Ω 0.25W（multiplierなし）</x:v>
      </x:c>
      <x:c r="K11" s="24" t="str">
        <x:v>1.25x / 6x / 10x</x:v>
      </x:c>
      <x:c r="L11" s="33" t="str">
        <x:v>25 / 40 / 60</x:v>
      </x:c>
      <x:c r="M11" s="33" t="str">
        <x:v>110 low / 95 high</x:v>
      </x:c>
      <x:c r="N11" s="33"/>
      <x:c r="O11" s="33" t="str">
        <x:v>内部115V/230V固定</x:v>
      </x:c>
      <x:c r="P11" s="33" t="str">
        <x:v>公式100V定格なし。購入前に要確認</x:v>
      </x:c>
      <x:c r="Q11" s="24" t="str">
        <x:v>5年、真空管90日
https://www.schiit.com/products/valhalla-3</x:v>
      </x:c>
    </x:row>
    <x:row r="12" ht="64" customHeight="1">
      <x:c r="A12" s="32" t="n">
        <x:v>8</x:v>
      </x:c>
      <x:c r="B12" s="26" t="str">
        <x:v>Lyr 5</x:v>
      </x:c>
      <x:c r="C12" s="26" t="str">
        <x:v>desktop</x:v>
      </x:c>
      <x:c r="D12" s="32" t="str">
        <x:v>現行</x:v>
      </x:c>
      <x:c r="E12" s="26" t="str">
        <x:v>Fusionハイブリッド/SS切替、リレー式ラダー音量、Forkbeard。4.4mmはHaloで真バランスではない。</x:v>
      </x:c>
      <x:c r="F12" s="26" t="str">
        <x:v>RCA 1 / RCA 2</x:v>
      </x:c>
      <x:c r="G12" s="26" t="str">
        <x:v>6.3mm SE / 4.4mm Halo</x:v>
      </x:c>
      <x:c r="H12" s="26" t="str">
        <x:v>RCA variable</x:v>
      </x:c>
      <x:c r="I12" s="26" t="str">
        <x:v>端子/Haloあり、真の差動バランス駆動ではない</x:v>
      </x:c>
      <x:c r="J12" s="26" t="str">
        <x:v>16Ω 9W; 32Ω 6W; 50Ω 4W; 300Ω 0.9W; 600Ω 0.45W</x:v>
      </x:c>
      <x:c r="K12" s="26" t="str">
        <x:v>1.2x / 6.5x</x:v>
      </x:c>
      <x:c r="L12" s="32" t="str">
        <x:v>0.4 normal / 2 Halo</x:v>
      </x:c>
      <x:c r="M12" s="32" t="str">
        <x:v>low: 114 SS / 110 tube</x:v>
      </x:c>
      <x:c r="N12" s="32"/>
      <x:c r="O12" s="32" t="str">
        <x:v>内部115V/230V固定</x:v>
      </x:c>
      <x:c r="P12" s="32" t="str">
        <x:v>公式100V定格なし。購入前に要確認</x:v>
      </x:c>
      <x:c r="Q12" s="26" t="str">
        <x:v>5年
https://www.schiit.com/products/lyr-5</x:v>
      </x:c>
    </x:row>
    <x:row r="13" ht="64" customHeight="1">
      <x:c r="A13" s="33" t="n">
        <x:v>9</x:v>
      </x:c>
      <x:c r="B13" s="24" t="str">
        <x:v>Mjolnir 3</x:v>
      </x:c>
      <x:c r="C13" s="24" t="str">
        <x:v>large desktop</x:v>
      </x:c>
      <x:c r="D13" s="33" t="str">
        <x:v>現行</x:v>
      </x:c>
      <x:c r="E13" s="24" t="str">
        <x:v>真バランスClass A。</x:v>
      </x:c>
      <x:c r="F13" s="24" t="str">
        <x:v>XLR / RCA</x:v>
      </x:c>
      <x:c r="G13" s="24" t="str">
        <x:v>4-pin XLR balanced / 6.3mm SE</x:v>
      </x:c>
      <x:c r="H13" s="24" t="str">
        <x:v>XLR variable / RCA variable</x:v>
      </x:c>
      <x:c r="I13" s="24" t="str">
        <x:v>真バランス・ヘッドホン駆動</x:v>
      </x:c>
      <x:c r="J13" s="24" t="str">
        <x:v>balanced: 32Ω 2W, 300Ω 1W; SE: 32Ω 1W, 300Ω 0.5W</x:v>
      </x:c>
      <x:c r="K13" s="24" t="str">
        <x:v>balanced 2x/8x; SE input 1x/4x</x:v>
      </x:c>
      <x:c r="L13" s="33" t="str">
        <x:v>&lt;0.25 balanced / &lt;0.13 SE</x:v>
      </x:c>
      <x:c r="M13" s="33" t="str">
        <x:v>110 balanced / 98 SE</x:v>
      </x:c>
      <x:c r="N13" s="33"/>
      <x:c r="O13" s="33" t="str">
        <x:v>内部115V/230V固定、消費約50W</x:v>
      </x:c>
      <x:c r="P13" s="33" t="str">
        <x:v>公式100V定格なし。購入前に要確認</x:v>
      </x:c>
      <x:c r="Q13" s="24" t="str">
        <x:v>5年
https://www.schiit.com/products/mjolnir-3</x:v>
      </x:c>
    </x:row>
    <x:row r="14" ht="64" customHeight="1">
      <x:c r="A14" s="32" t="n">
        <x:v>10</x:v>
      </x:c>
      <x:c r="B14" s="26" t="str">
        <x:v>Modi 5</x:v>
      </x:c>
      <x:c r="C14" s="26" t="str">
        <x:v>compact desktop</x:v>
      </x:c>
      <x:c r="D14" s="32" t="str">
        <x:v>現行</x:v>
      </x:c>
      <x:c r="E14" s="26" t="str">
        <x:v>Mesh ES9018 + OPA1656、Unison USB 384。</x:v>
      </x:c>
      <x:c r="F14" s="26" t="str">
        <x:v>USB-C 384k / optical 192k / coaxial 192k</x:v>
      </x:c>
      <x:c r="G14" s="26" t="str">
        <x:v>なし</x:v>
      </x:c>
      <x:c r="H14" s="26" t="str">
        <x:v>RCA</x:v>
      </x:c>
      <x:c r="I14" s="26" t="str">
        <x:v>シングルエンド</x:v>
      </x:c>
      <x:c r="J14" s="26" t="str">
        <x:v>line: USB電源1.5Vrms / AC電源2Vrms</x:v>
      </x:c>
      <x:c r="K14" s="26"/>
      <x:c r="L14" s="32" t="str">
        <x:v>75</x:v>
      </x:c>
      <x:c r="M14" s="32" t="str">
        <x:v>118</x:v>
      </x:c>
      <x:c r="N14" s="32" t="str">
        <x:v>0.0003%</x:v>
      </x:c>
      <x:c r="O14" s="32" t="str">
        <x:v>USBまたは12–16VAC</x:v>
      </x:c>
      <x:c r="P14" s="32" t="str">
        <x:v>USB動作可（出力制限）。ACは要確認</x:v>
      </x:c>
      <x:c r="Q14" s="26" t="str">
        <x:v>2年
https://www.schiit.com/products/modi-5</x:v>
      </x:c>
    </x:row>
    <x:row r="15" ht="64" customHeight="1">
      <x:c r="A15" s="33" t="n">
        <x:v>11</x:v>
      </x:c>
      <x:c r="B15" s="24" t="str">
        <x:v>Mimir</x:v>
      </x:c>
      <x:c r="C15" s="24" t="str">
        <x:v>desktop</x:v>
      </x:c>
      <x:c r="D15" s="33" t="str">
        <x:v>現行</x:v>
      </x:c>
      <x:c r="E15" s="24" t="str">
        <x:v>Mesh ES9028、LME49724 balanced / OPA1656 SE。</x:v>
      </x:c>
      <x:c r="F15" s="24" t="str">
        <x:v>USB-C 384k / optical 192k / coaxial 192k / AES 192k</x:v>
      </x:c>
      <x:c r="G15" s="24" t="str">
        <x:v>なし</x:v>
      </x:c>
      <x:c r="H15" s="24" t="str">
        <x:v>XLR / RCA / digital volume with Forkbeard</x:v>
      </x:c>
      <x:c r="I15" s="24" t="str">
        <x:v>XLRバランス・ライン出力</x:v>
      </x:c>
      <x:c r="J15" s="24" t="str">
        <x:v>line: USB電源3Vrms XLR/1.5Vrms RCA; AC電源4/2Vrms</x:v>
      </x:c>
      <x:c r="K15" s="24"/>
      <x:c r="L15" s="33" t="str">
        <x:v>75</x:v>
      </x:c>
      <x:c r="M15" s="33" t="str">
        <x:v>118</x:v>
      </x:c>
      <x:c r="N15" s="33" t="str">
        <x:v>0.0003%</x:v>
      </x:c>
      <x:c r="O15" s="33" t="str">
        <x:v>USBまたは外部AC。Forkbeard時はリモート、3-band PEQ、Loudness、位相、NOS</x:v>
      </x:c>
      <x:c r="P15" s="33" t="str">
        <x:v>USB動作可（出力制限）。ACは要確認</x:v>
      </x:c>
      <x:c r="Q15" s="24" t="str">
        <x:v>3年
https://www.schiit.com/products/mimir</x:v>
      </x:c>
    </x:row>
    <x:row r="16" ht="64" customHeight="1">
      <x:c r="A16" s="32" t="n">
        <x:v>12</x:v>
      </x:c>
      <x:c r="B16" s="26" t="str">
        <x:v>Bifrost 2/64</x:v>
      </x:c>
      <x:c r="C16" s="26" t="str">
        <x:v>desktop</x:v>
      </x:c>
      <x:c r="D16" s="32" t="str">
        <x:v>現行</x:v>
      </x:c>
      <x:c r="E16" s="26" t="str">
        <x:v>TI DAC8812×4 true multibit、SHARC 8x/NOS、ハードウェア・バランス。</x:v>
      </x:c>
      <x:c r="F16" s="26" t="str">
        <x:v>USB-C 192k / optical 192k / coaxial 192k</x:v>
      </x:c>
      <x:c r="G16" s="26" t="str">
        <x:v>なし</x:v>
      </x:c>
      <x:c r="H16" s="26" t="str">
        <x:v>XLR / RCA</x:v>
      </x:c>
      <x:c r="I16" s="26" t="str">
        <x:v>XLRバランス・ライン出力</x:v>
      </x:c>
      <x:c r="J16" s="26" t="str">
        <x:v>line: 4Vrms XLR / 2Vrms RCA</x:v>
      </x:c>
      <x:c r="K16" s="26"/>
      <x:c r="L16" s="32" t="str">
        <x:v>75</x:v>
      </x:c>
      <x:c r="M16" s="32" t="str">
        <x:v>124</x:v>
      </x:c>
      <x:c r="N16" s="32" t="str">
        <x:v>&lt;0.0008%</x:v>
      </x:c>
      <x:c r="O16" s="32" t="str">
        <x:v>内部115V/230V固定</x:v>
      </x:c>
      <x:c r="P16" s="32" t="str">
        <x:v>公式100V定格なし。購入前に要確認</x:v>
      </x:c>
      <x:c r="Q16" s="26" t="str">
        <x:v>5年
https://www.schiit.com/products/bifrost</x:v>
      </x:c>
    </x:row>
    <x:row r="17" ht="64" customHeight="1">
      <x:c r="A17" s="33" t="n">
        <x:v>13</x:v>
      </x:c>
      <x:c r="B17" s="24" t="str">
        <x:v>Gungnir 2</x:v>
      </x:c>
      <x:c r="C17" s="24" t="str">
        <x:v>large desktop</x:v>
      </x:c>
      <x:c r="D17" s="33" t="str">
        <x:v>現行</x:v>
      </x:c>
      <x:c r="E17" s="24" t="str">
        <x:v>TI DAC8812C×4 Multiform、SHARC/NOS、AD4898。</x:v>
      </x:c>
      <x:c r="F17" s="24" t="str">
        <x:v>AES / coaxial / optical / Unison USB 384k / Unison USB 192k</x:v>
      </x:c>
      <x:c r="G17" s="24" t="str">
        <x:v>なし</x:v>
      </x:c>
      <x:c r="H17" s="24" t="str">
        <x:v>XLR / RCA / digital volume with Forkbeard</x:v>
      </x:c>
      <x:c r="I17" s="24" t="str">
        <x:v>XLRバランス・ライン出力</x:v>
      </x:c>
      <x:c r="J17" s="24" t="str">
        <x:v>line: 4Vrms XLR / 2Vrms RCA</x:v>
      </x:c>
      <x:c r="K17" s="24"/>
      <x:c r="L17" s="33" t="str">
        <x:v>75</x:v>
      </x:c>
      <x:c r="M17" s="33" t="str">
        <x:v>112</x:v>
      </x:c>
      <x:c r="N17" s="33" t="str">
        <x:v>&lt;0.0008%</x:v>
      </x:c>
      <x:c r="O17" s="33" t="str">
        <x:v>内部115V/230V固定。Forkbeardは5-band PEQ/プリアンプ、IRリモート</x:v>
      </x:c>
      <x:c r="P17" s="33" t="str">
        <x:v>公式100V定格なし。購入前に要確認</x:v>
      </x:c>
      <x:c r="Q17" s="24" t="str">
        <x:v>5年
https://www.schiit.com/products/gungnir-2</x:v>
      </x:c>
    </x:row>
    <x:row r="18" ht="64" customHeight="1">
      <x:c r="A18" s="32" t="n">
        <x:v>14</x:v>
      </x:c>
      <x:c r="B18" s="26" t="str">
        <x:v>Yggdrasil</x:v>
      </x:c>
      <x:c r="C18" s="26" t="str">
        <x:v>large desktop</x:v>
      </x:c>
      <x:c r="D18" s="32" t="str">
        <x:v>現行</x:v>
      </x:c>
      <x:c r="E18" s="26" t="str">
        <x:v>現行2種: LIMはTI DAC8812×4 true multibit。SingularはXilinx FPGA独自7-bit/6MHz delta-sigma + discrete ladder/Nexus Class A。</x:v>
      </x:c>
      <x:c r="F18" s="26" t="str">
        <x:v>LIM: USB/AES/coax/BNC/optical 192k / Singular: 2×USB 384k + S/PDIF</x:v>
      </x:c>
      <x:c r="G18" s="26" t="str">
        <x:v>なし</x:v>
      </x:c>
      <x:c r="H18" s="26" t="str">
        <x:v>XLR×1 / RCA×2 / Singular: Forkbeard</x:v>
      </x:c>
      <x:c r="I18" s="26" t="str">
        <x:v>シングルエンド</x:v>
      </x:c>
      <x:c r="J18" s="26" t="str">
        <x:v>line: 4Vrms XLR / 2Vrms RCA</x:v>
      </x:c>
      <x:c r="K18" s="26"/>
      <x:c r="L18" s="32" t="str">
        <x:v>75</x:v>
      </x:c>
      <x:c r="M18" s="32" t="str">
        <x:v>LIM 110 / Singular 108</x:v>
      </x:c>
      <x:c r="N18" s="32" t="str">
        <x:v>LIM &lt;0.002% / Singular 0.0008%</x:v>
      </x:c>
      <x:c r="O18" s="32" t="str">
        <x:v>内部115V/230V固定、約45W、約25lb</x:v>
      </x:c>
      <x:c r="P18" s="32" t="str">
        <x:v>公式100V定格なし。購入前に要確認</x:v>
      </x:c>
      <x:c r="Q18" s="26" t="str">
        <x:v>5年
https://www.schiit.com/products/yggdrasil</x:v>
      </x:c>
    </x:row>
    <x:row r="19" ht="64" customHeight="1">
      <x:c r="A19" s="33" t="n">
        <x:v>15</x:v>
      </x:c>
      <x:c r="B19" s="24" t="str">
        <x:v>Fulla E</x:v>
      </x:c>
      <x:c r="C19" s="24" t="str">
        <x:v>compact gaming desktop</x:v>
      </x:c>
      <x:c r="D19" s="33" t="str">
        <x:v>現行</x:v>
      </x:c>
      <x:c r="E19" s="24" t="str">
        <x:v>ES9018、OPA1654/1656、CM6635、PCM1808 mic。</x:v>
      </x:c>
      <x:c r="F19" s="24" t="str">
        <x:v>USB-C data/power / optical / マイク</x:v>
      </x:c>
      <x:c r="G19" s="24" t="str">
        <x:v>6.3mm SE</x:v>
      </x:c>
      <x:c r="H19" s="24" t="str">
        <x:v>3.5mm variable</x:v>
      </x:c>
      <x:c r="I19" s="24" t="str">
        <x:v>シングルエンド</x:v>
      </x:c>
      <x:c r="J19" s="24" t="str">
        <x:v>16Ω 0.3W; 32Ω 0.2W; 50Ω 0.15W; 300Ω 0.04W</x:v>
      </x:c>
      <x:c r="K19" s="24" t="str">
        <x:v>固定</x:v>
      </x:c>
      <x:c r="L19" s="33" t="str">
        <x:v>0.5</x:v>
      </x:c>
      <x:c r="M19" s="33" t="str">
        <x:v>108</x:v>
      </x:c>
      <x:c r="N19" s="33"/>
      <x:c r="O19" s="33" t="str">
        <x:v>USB。追加USB給電端子あり</x:v>
      </x:c>
      <x:c r="P19" s="33" t="str">
        <x:v>地域非依存（USB給電）</x:v>
      </x:c>
      <x:c r="Q19" s="24" t="str">
        <x:v>2年
https://www.schiit.com/products/fulla-2</x:v>
      </x:c>
    </x:row>
    <x:row r="20" ht="64" customHeight="1">
      <x:c r="A20" s="32" t="n">
        <x:v>16</x:v>
      </x:c>
      <x:c r="B20" s="26" t="str">
        <x:v>Gunnr</x:v>
      </x:c>
      <x:c r="C20" s="26" t="str">
        <x:v>desktop</x:v>
      </x:c>
      <x:c r="D20" s="32" t="str">
        <x:v>現行</x:v>
      </x:c>
      <x:c r="E20" s="26" t="str">
        <x:v>ES9018系DAC/アナログアンプ、幅・プレゼンス調整。</x:v>
      </x:c>
      <x:c r="F20" s="26" t="str">
        <x:v>USB-C / optical / マイク</x:v>
      </x:c>
      <x:c r="G20" s="26" t="str">
        <x:v>6.3mm SE</x:v>
      </x:c>
      <x:c r="H20" s="26" t="str">
        <x:v>3.5mm variable</x:v>
      </x:c>
      <x:c r="I20" s="26" t="str">
        <x:v>シングルエンド</x:v>
      </x:c>
      <x:c r="J20" s="26" t="str">
        <x:v>16Ω 2W; 32Ω 1.5W; 50Ω 0.8W; 300Ω 0.2W。USB単独は最大-10dB</x:v>
      </x:c>
      <x:c r="K20" s="26" t="str">
        <x:v>negative/low/high: 最大0.67/2/8.5Vrms</x:v>
      </x:c>
      <x:c r="L20" s="32" t="str">
        <x:v>0.25</x:v>
      </x:c>
      <x:c r="M20" s="32" t="str">
        <x:v>114</x:v>
      </x:c>
      <x:c r="N20" s="32"/>
      <x:c r="O20" s="32" t="str">
        <x:v>16VACまたはUSB</x:v>
      </x:c>
      <x:c r="P20" s="32" t="str">
        <x:v>USB動作可（出力制限）。ACは要確認</x:v>
      </x:c>
      <x:c r="Q20" s="26" t="str">
        <x:v>3年 + 1年rapid exchange
https://www.schiit.com/products/gunnr</x:v>
      </x:c>
    </x:row>
    <x:row r="21" ht="64" customHeight="1">
      <x:c r="A21" s="34" t="n">
        <x:v>17</x:v>
      </x:c>
      <x:c r="B21" s="25" t="str">
        <x:v>Lyr+ Last Call</x:v>
      </x:c>
      <x:c r="C21" s="25" t="str">
        <x:v>desktop</x:v>
      </x:c>
      <x:c r="D21" s="34" t="str">
        <x:v>Last Call</x:v>
      </x:c>
      <x:c r="E21" s="25" t="str">
        <x:v>ハイブリッド/SS切替、リレー式音量、シングルエンド。終売移行在庫。</x:v>
      </x:c>
      <x:c r="F21" s="25" t="str">
        <x:v>RCA</x:v>
      </x:c>
      <x:c r="G21" s="25" t="str">
        <x:v>6.3mm SE</x:v>
      </x:c>
      <x:c r="H21" s="25" t="str">
        <x:v>RCA variable</x:v>
      </x:c>
      <x:c r="I21" s="25" t="str">
        <x:v>シングルエンド</x:v>
      </x:c>
      <x:c r="J21" s="25" t="str">
        <x:v>16Ω 9W; 32Ω 6W; 50Ω 4W; 300Ω 0.9W; 600Ω 0.45W</x:v>
      </x:c>
      <x:c r="K21" s="25" t="str">
        <x:v>1.2x / 5.7x</x:v>
      </x:c>
      <x:c r="L21" s="34" t="str">
        <x:v>0.4</x:v>
      </x:c>
      <x:c r="M21" s="34" t="str">
        <x:v>low: 115 SS / 111 tube</x:v>
      </x:c>
      <x:c r="N21" s="34"/>
      <x:c r="O21" s="34" t="str">
        <x:v>内部115V/230V固定</x:v>
      </x:c>
      <x:c r="P21" s="34" t="str">
        <x:v>公式100V定格なし。購入前に要確認</x:v>
      </x:c>
      <x:c r="Q21" s="25" t="str">
        <x:v>5年
https://www.schiit.com/products/lyr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4c106be2f0db4f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9" hidden="0" customWidth="1"/>
    <x:col min="3" max="3" width="48" hidden="0" customWidth="1"/>
    <x:col min="4" max="4" width="48" hidden="0" customWidth="1"/>
    <x:col min="5" max="5" width="10" hidden="0" customWidth="1"/>
    <x:col min="6" max="6" width="36" hidden="0" customWidth="1"/>
    <x:col min="7" max="7" width="38" hidden="0" customWidth="1"/>
    <x:col min="8" max="8" width="8" hidden="0" customWidth="1"/>
    <x:col min="9" max="9" width="62" hidden="0" customWidth="1"/>
  </x:cols>
  <x:sheetData>
    <x:row r="1" ht="34" customHeight="1">
      <x:c r="A1" s="4" t="str">
        <x:v>レビュー傾向 — 共通評価・反対意見・確信度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9" t="str">
        <x:v>主観評価は公式仕様と分離。確信度は情報の成熟度であり、好評度ではない</x:v>
      </x:c>
      <x:c r="B2" s="9"/>
      <x:c r="C2" s="9"/>
      <x:c r="D2" s="9"/>
      <x:c r="E2" s="9"/>
      <x:c r="F2" s="9"/>
      <x:c r="G2" s="9"/>
      <x:c r="H2" s="9"/>
      <x:c r="I2" s="9"/>
    </x:row>
    <x:row r="4" ht="30" customHeight="1">
      <x:c r="A4" s="15" t="str">
        <x:v>No.</x:v>
      </x:c>
      <x:c r="B4" s="15" t="str">
        <x:v>製品</x:v>
      </x:c>
      <x:c r="C4" s="15" t="str">
        <x:v>共通傾向</x:v>
      </x:c>
      <x:c r="D4" s="15" t="str">
        <x:v>反対意見・注意</x:v>
      </x:c>
      <x:c r="E4" s="15" t="str">
        <x:v>確信度</x:v>
      </x:c>
      <x:c r="F4" s="15" t="str">
        <x:v>向く用途</x:v>
      </x:c>
      <x:c r="G4" s="15" t="str">
        <x:v>避けたい用途</x:v>
      </x:c>
      <x:c r="H4" s="15" t="str">
        <x:v>参照数</x:v>
      </x:c>
      <x:c r="I4" s="15" t="str">
        <x:v>レビューURL</x:v>
      </x:c>
    </x:row>
    <x:row r="5" ht="76" customHeight="1">
      <x:c r="A5" s="31" t="n">
        <x:v>1</x:v>
      </x:c>
      <x:c r="B5" s="23" t="str">
        <x:v>Vestri</x:v>
      </x:c>
      <x:c r="C5" s="23" t="str">
        <x:v>暖かく厚みがあり、高域は滑らか。Meshの広がりと99ドルの価値が好評。</x:v>
      </x:c>
      <x:c r="D5" s="23" t="str">
        <x:v>発売直後で長期情報が少なく、機能はUSB再生に限定。</x:v>
      </x:c>
      <x:c r="E5" s="31" t="str">
        <x:v>低</x:v>
      </x:c>
      <x:c r="F5" s="31" t="str">
        <x:v>CIEM、持ち運べるUSBデスクトップ、低予算</x:v>
      </x:c>
      <x:c r="G5" s="31" t="str">
        <x:v>アナログ・S/PDIF入力やマイクが必要な用途</x:v>
      </x:c>
      <x:c r="H5" s="31" t="n">
        <x:v>3</x:v>
      </x:c>
      <x:c r="I5" s="23" t="str">
        <x:v>https://superbestaudiofriends.org/index.php?threads/schiit-vestri-usb-dongle-review-and-measurements.15637/
https://www.head-fi.org/threads/schiit-vestri-impressions-thread.980445/
https://audiophilestyle.com/ca/reviews/review-schiit-audio-vestri-portable-r1429/</x:v>
      </x:c>
    </x:row>
    <x:row r="6" ht="76" customHeight="1">
      <x:c r="A6" s="32" t="n">
        <x:v>2</x:v>
      </x:c>
      <x:c r="B6" s="26" t="str">
        <x:v>Magni Unity</x:v>
      </x:c>
      <x:c r="C6" s="26" t="str">
        <x:v>中立〜わずかに暖かく、低域のパンチと広い舞台、IEMでの静けさ、価格性能が好評。</x:v>
      </x:c>
      <x:c r="D6" s="26" t="str">
        <x:v>一部に高ゲイン時ノイズ報告。旧DACモジュールのレビューを現行Meshに流用できない。</x:v>
      </x:c>
      <x:c r="E6" s="32" t="str">
        <x:v>高</x:v>
      </x:c>
      <x:c r="F6" s="32" t="str">
        <x:v>敏感なIEMから一般的な平面駆動・高インピーダンス型までの一台</x:v>
      </x:c>
      <x:c r="G6" s="32" t="str">
        <x:v>バランス入出力必須のシステム</x:v>
      </x:c>
      <x:c r="H6" s="32" t="n">
        <x:v>4</x:v>
      </x:c>
      <x:c r="I6" s="26" t="str">
        <x:v>https://pmamagazine.org/review-schiit-magni-unity-and-hifiman-arya-stealth-high-end-sound-for-less/
https://superbestaudiofriends.org/index.php?threads/schiit-magni-unity-review-and-measurements.13965/
https://www.head-fi.org/threads/schiit-magni-unity-impressions-thread.970645/
https://www.audiosciencereview.com/forum/index.php?threads/schiit-magni-unity-dac-hp-amp-review.68919/</x:v>
      </x:c>
    </x:row>
    <x:row r="7" ht="76" customHeight="1">
      <x:c r="A7" s="33" t="n">
        <x:v>3</x:v>
      </x:c>
      <x:c r="B7" s="24" t="str">
        <x:v>Asgard X</x:v>
      </x:c>
      <x:c r="C7" s="24" t="str">
        <x:v>Asgard 3より速く明瞭で、マクロダイナミクス、低域の制動、解像感が向上との傾向。</x:v>
      </x:c>
      <x:c r="D7" s="24" t="str">
        <x:v>暖かい／乾いたという評価が割れ、4.4mmの高めの出力インピーダンスや高域のざらつき指摘もある。</x:v>
      </x:c>
      <x:c r="E7" s="33" t="str">
        <x:v>中</x:v>
      </x:c>
      <x:c r="F7" s="33" t="str">
        <x:v>有機的な質感、クラスA系の設計、一般的ヘッドホン</x:v>
      </x:c>
      <x:c r="G7" s="33" t="str">
        <x:v>超高感度CIEM、4.4mmを低インピーダンス出力や真バランスとみなす用途</x:v>
      </x:c>
      <x:c r="H7" s="33" t="n">
        <x:v>3</x:v>
      </x:c>
      <x:c r="I7" s="24" t="str">
        <x:v>https://www.head-fi.org/threads/schiit-asgard-x-impressions-thread.977154/
https://www.head-fi.org/showcase/schiit-asgard-x-the-best-asgard-yet.28358/reviews
https://superbestaudiofriends.org/index.php?threads/schiit-asgard-x-impressions.15230/</x:v>
      </x:c>
    </x:row>
    <x:row r="8" ht="76" customHeight="1">
      <x:c r="A8" s="32" t="n">
        <x:v>4</x:v>
      </x:c>
      <x:c r="B8" s="26" t="str">
        <x:v>Jotunheim 3</x:v>
      </x:c>
      <x:c r="C8" s="26" t="str">
        <x:v>中立、クリーン、高速でダイナミック。平面駆動型への電流余裕とJotunheim 2比のSE・ノイズ改善が好評。</x:v>
      </x:c>
      <x:c r="D8" s="26" t="str">
        <x:v>バランスや大出力が不要なら上位価格の利得は小さく、発売後の情報量はまだ中程度。</x:v>
      </x:c>
      <x:c r="E8" s="32" t="str">
        <x:v>中</x:v>
      </x:c>
      <x:c r="F8" s="32" t="str">
        <x:v>低〜中インピーダンス平面駆動型、真バランス接続、プリアンプ兼用</x:v>
      </x:c>
      <x:c r="G8" s="32" t="str">
        <x:v>負ゲインが必須な超高感度CIEM、最小構成を求める用途</x:v>
      </x:c>
      <x:c r="H8" s="32" t="n">
        <x:v>3</x:v>
      </x:c>
      <x:c r="I8" s="26" t="str">
        <x:v>https://www.head-fi.org/threads/schiit-jotunheim-3-impressions.977967/
https://superbestaudiofriends.org/index.php?threads/jotunheim-3-impressions.15348/
https://www.ecoustics.com/products/schiit-jotunheim-3/</x:v>
      </x:c>
    </x:row>
    <x:row r="9" ht="76" customHeight="1">
      <x:c r="A9" s="33" t="n">
        <x:v>5</x:v>
      </x:c>
      <x:c r="B9" s="24" t="str">
        <x:v>Vali 3</x:v>
      </x:c>
      <x:c r="C9" s="24" t="str">
        <x:v>真空管機として明瞭、開放的、高速でパンチがあり、ソリッドステート寄りの扱いやすさ。</x:v>
      </x:c>
      <x:c r="D9" s="24" t="str">
        <x:v>低域の緩さ、密集音源の分離、乾いた高域、球由来のハムという指摘。</x:v>
      </x:c>
      <x:c r="E9" s="33" t="str">
        <x:v>高</x:v>
      </x:c>
      <x:c r="F9" s="33" t="str">
        <x:v>低予算で真空管の変化や球交換を楽しむ</x:v>
      </x:c>
      <x:c r="G9" s="33" t="str">
        <x:v>完全無音を求める敏感なCIEM、最大制動を求める低能率平面駆動型</x:v>
      </x:c>
      <x:c r="H9" s="33" t="n">
        <x:v>3</x:v>
      </x:c>
      <x:c r="I9" s="24" t="str">
        <x:v>https://superbestaudiofriends.org/index.php?threads/schiit-vali-3.14356/
https://www.head-fi.org/threads/schiit-vali-3-impressions-thread.972014/
https://www.stereonet.com/reviews/schiit-vali-3-headphone-amplifier-review</x:v>
      </x:c>
    </x:row>
    <x:row r="10" ht="76" customHeight="1">
      <x:c r="A10" s="32" t="n">
        <x:v>6</x:v>
      </x:c>
      <x:c r="B10" s="26" t="str">
        <x:v>Midgard</x:v>
      </x:c>
      <x:c r="C10" s="26" t="str">
        <x:v>測定、出力、価格性能が非常に強く、透明・自然・開放的で奥行きがあるとの傾向。</x:v>
      </x:c>
      <x:c r="D10" s="26" t="str">
        <x:v>低域が薄い／豊かという評価が矛盾し、Halo差も明確／ほぼ聞こえないと割れる。</x:v>
      </x:c>
      <x:c r="E10" s="32" t="str">
        <x:v>高</x:v>
      </x:c>
      <x:c r="F10" s="32" t="str">
        <x:v>平面駆動型を含む一般ヘッドホン、低価格で大出力、XLR/RCAプリアンプ、Halo比較</x:v>
      </x:c>
      <x:c r="G10" s="32" t="str">
        <x:v>4ピンXLRを真バランス駆動とする構成</x:v>
      </x:c>
      <x:c r="H10" s="32" t="n">
        <x:v>4</x:v>
      </x:c>
      <x:c r="I10" s="26" t="str">
        <x:v>https://www.audiosciencereview.com/forum/index.php?threads/schiit-midgard-balanced-headphone-amp-review.48653/
https://www.ear-fidelity.com/schiit-audio-midgard-review/
https://superbestaudiofriends.org/index.php?threads/schiit-midgard-review-impressions-measurements-science.13897/
https://www.head-fi.org/threads/schiit-midgard-impressions-thread.970085/</x:v>
      </x:c>
    </x:row>
    <x:row r="11" ht="76" customHeight="1">
      <x:c r="A11" s="33" t="n">
        <x:v>7</x:v>
      </x:c>
      <x:c r="B11" s="24" t="str">
        <x:v>Valhalla 3</x:v>
      </x:c>
      <x:c r="C11" s="24" t="str">
        <x:v>開放的、空気感、自然な減衰、奥行きとライブ感。真空管機として意外にクリーンで中立。</x:v>
      </x:c>
      <x:c r="D11" s="24" t="str">
        <x:v>HD800で明るく細い、期待ほど濃厚でないとの声。低インピーダンス平面駆動型には不適。</x:v>
      </x:c>
      <x:c r="E11" s="33" t="str">
        <x:v>中</x:v>
      </x:c>
      <x:c r="F11" s="33" t="str">
        <x:v>HD600/800系など高インピーダンス動電型、OTLの空間と減衰感</x:v>
      </x:c>
      <x:c r="G11" s="33" t="str">
        <x:v>CIEM、低インピーダンス多BA、低能率平面駆動型</x:v>
      </x:c>
      <x:c r="H11" s="33" t="n">
        <x:v>3</x:v>
      </x:c>
      <x:c r="I11" s="24" t="str">
        <x:v>https://superbestaudiofriends.org/index.php?threads/schiit-valhalla-3-tube-headphone-amplifier-review.15091/
https://www.head-fi.org/threads/schiit-valhalla-3-impressions-thread.976031/
https://forum.hifiguides.com/t/schiit-audio-valhalla-3/45231</x:v>
      </x:c>
    </x:row>
    <x:row r="12" ht="76" customHeight="1">
      <x:c r="A12" s="32" t="n">
        <x:v>8</x:v>
      </x:c>
      <x:c r="B12" s="26" t="str">
        <x:v>Lyr 5</x:v>
      </x:c>
      <x:c r="C12" s="26" t="str">
        <x:v>小型で非常に強力かつ多用途。球では奥行きと艶、SSでは低ノイズと締まりを得られるとの初期傾向。</x:v>
      </x:c>
      <x:c r="D12" s="26" t="str">
        <x:v>球・高ゲインでヒス報告があり、発売直後で長期評価が不足。</x:v>
      </x:c>
      <x:c r="E12" s="32" t="str">
        <x:v>低</x:v>
      </x:c>
      <x:c r="F12" s="32" t="str">
        <x:v>一台で球とSSを切替、大出力、リモート音量を求める</x:v>
      </x:c>
      <x:c r="G12" s="32" t="str">
        <x:v>真バランス必須、超高感度CIEMの完全無音を最優先</x:v>
      </x:c>
      <x:c r="H12" s="32" t="n">
        <x:v>2</x:v>
      </x:c>
      <x:c r="I12" s="26" t="str">
        <x:v>https://superbestaudiofriends.org/index.php?threads/schiit-lyr-5-impressions.15573/
https://www.head-fi.org/threads/schiit-lyr-5-impressions-thread.979306/</x:v>
      </x:c>
    </x:row>
    <x:row r="13" ht="76" customHeight="1">
      <x:c r="A13" s="33" t="n">
        <x:v>9</x:v>
      </x:c>
      <x:c r="B13" s="24" t="str">
        <x:v>Mjolnir 3</x:v>
      </x:c>
      <x:c r="C13" s="24" t="str">
        <x:v>権威的で滑らか、まとまり、豊かさ、わずかな温かさ、自然な重みと低域の持続が好評。</x:v>
      </x:c>
      <x:c r="D13" s="24" t="str">
        <x:v>Mjolnir 2よりスラムが弱い、特定機種で柔らかすぎる、最難関平面駆動への評価が割れる。</x:v>
      </x:c>
      <x:c r="E13" s="33" t="str">
        <x:v>高</x:v>
      </x:c>
      <x:c r="F13" s="33" t="str">
        <x:v>中〜高能率平面駆動、高インピーダンス型、Class Aの質感とレイヤリング</x:v>
      </x:c>
      <x:c r="G13" s="33" t="str">
        <x:v>敏感なIEM、省スペース、省電力、最大数値出力だけを求める用途</x:v>
      </x:c>
      <x:c r="H13" s="33" t="n">
        <x:v>3</x:v>
      </x:c>
      <x:c r="I13" s="24" t="str">
        <x:v>https://superbestaudiofriends.org/index.php?threads/schiit-mjolnir-3-impressions.13699/
https://www.head-fi.org/threads/schiit-mjolnir-3-impressions-thread.969416/
https://forum.headphones.com/t/schiit-mjolnir-3/22016</x:v>
      </x:c>
    </x:row>
    <x:row r="14" ht="76" customHeight="1">
      <x:c r="A14" s="32" t="n">
        <x:v>10</x:v>
      </x:c>
      <x:c r="B14" s="26" t="str">
        <x:v>Modi 5</x:v>
      </x:c>
      <x:c r="C14" s="26" t="str">
        <x:v>Modi+より滑らかで空間が広く、Mimirより暖かめという初期傾向。価格性能が強い。</x:v>
      </x:c>
      <x:c r="D14" s="26" t="str">
        <x:v>現行Mesh世代は新しく、機能は上位機より限定。</x:v>
      </x:c>
      <x:c r="E14" s="32" t="str">
        <x:v>中</x:v>
      </x:c>
      <x:c r="F14" s="32" t="str">
        <x:v>低価格のUSB/光/同軸DAC、Magni等との小型スタック</x:v>
      </x:c>
      <x:c r="G14" s="32" t="str">
        <x:v>XLR、AES、DSD、リモート、Forkbeardが必要な用途</x:v>
      </x:c>
      <x:c r="H14" s="32" t="n">
        <x:v>3</x:v>
      </x:c>
      <x:c r="I14" s="26" t="str">
        <x:v>https://www.head-fi.org/threads/schiit-modi-5-impressions-thread.978894/
https://superbestaudiofriends.org/index.php?threads/schiit-unity-mesh-dac-card-modi-5-stream-of-consciousness-review.15392/
https://darko.audio/2025/12/schiits-149-modi-5-199-magni-unity-land-with-mesh/</x:v>
      </x:c>
    </x:row>
    <x:row r="15" ht="76" customHeight="1">
      <x:c r="A15" s="33" t="n">
        <x:v>11</x:v>
      </x:c>
      <x:c r="B15" s="24" t="str">
        <x:v>Mimir</x:v>
      </x:c>
      <x:c r="C15" s="24" t="str">
        <x:v>Meshの広い舞台、細部、明瞭さ、299ドルの価値が好評。</x:v>
      </x:c>
      <x:c r="D15" s="24" t="str">
        <x:v>初期には薄い・分離しすぎ・冷たい、後には滑らか・暖かいと評価が割れ、FWやシステム相性の可能性。</x:v>
      </x:c>
      <x:c r="E15" s="33" t="str">
        <x:v>中</x:v>
      </x:c>
      <x:c r="F15" s="33" t="str">
        <x:v>Jotunheim 3等へのXLR接続、多入力、独立DAC、任意のDSP/リモート</x:v>
      </x:c>
      <x:c r="G15" s="33" t="str">
        <x:v>R2R/Multibit方式そのものを目的とする場合、DSD必須</x:v>
      </x:c>
      <x:c r="H15" s="33" t="n">
        <x:v>4</x:v>
      </x:c>
      <x:c r="I15" s="24" t="str">
        <x:v>https://superbestaudiofriends.org/index.php?threads/schiit-mimir-mesh-and-forkbeard-dac-preview.15060/
https://superbestaudiofriends.org/index.php?threads/schiit-mimir-f-2-technical-measurements.15536/
https://www.head-fi.org/showcase/schiit-mimir-dac.28360/reviews
https://www.audiosciencereview.com/forum/index.php?threads/anyone-buy-the-new-schiit-mimir-yet.62409/</x:v>
      </x:c>
    </x:row>
    <x:row r="16" ht="76" customHeight="1">
      <x:c r="A16" s="32" t="n">
        <x:v>12</x:v>
      </x:c>
      <x:c r="B16" s="26" t="str">
        <x:v>Bifrost 2/64</x:v>
      </x:c>
      <x:c r="C16" s="26" t="str">
        <x:v>旧Bifrost 2は暖かさ、厚み、スラム、有機性。2/64はより明瞭、中立、解像、奥行きという傾向。</x:v>
      </x:c>
      <x:c r="D16" s="26" t="str">
        <x:v>2/64を薄い、明るい、粒状とする声があり、比較では差が小さく嗜好も分かれる。</x:v>
      </x:c>
      <x:c r="E16" s="32" t="str">
        <x:v>高</x:v>
      </x:c>
      <x:c r="F16" s="32" t="str">
        <x:v>Multibitの設計思想、NOS切替、Jotunheim等との本格スタック</x:v>
      </x:c>
      <x:c r="G16" s="32" t="str">
        <x:v>音量リモート、AES、DSD、最優先の価格性能</x:v>
      </x:c>
      <x:c r="H16" s="32" t="n">
        <x:v>4</x:v>
      </x:c>
      <x:c r="I16" s="26" t="str">
        <x:v>https://audio-head.com/schiit-bifrost-2-vs-bifrost-2-64-a-schiit-shootout/
https://hear.audio/2024/12/28/schiit-audio-bifrost-2-64-review/
https://www.audiosciencereview.com/forum/index.php?threads/bifrost-2-64.45857/
https://www.head-fi.org/showcase/schiit-audio-bifrost-2.24927/reviews</x:v>
      </x:c>
    </x:row>
    <x:row r="17" ht="76" customHeight="1">
      <x:c r="A17" s="33" t="n">
        <x:v>13</x:v>
      </x:c>
      <x:c r="B17" s="24" t="str">
        <x:v>Gungnir 2</x:v>
      </x:c>
      <x:c r="C17" s="24" t="str">
        <x:v>旧Gungnir Multibitより詳細、鮮明な定位、中立・透明。舞台、音色、質感、Bifrost以上のニュアンスが好評。</x:v>
      </x:c>
      <x:c r="D17" s="24" t="str">
        <x:v>価格とDSD非対応が難点で、YggdrasilやBifrostの味付けを好む意見もある。</x:v>
      </x:c>
      <x:c r="E17" s="33" t="str">
        <x:v>中</x:v>
      </x:c>
      <x:c r="F17" s="33" t="str">
        <x:v>多入力、PEQ/プリアンプ、Multiform、上位バランスシステム</x:v>
      </x:c>
      <x:c r="G17" s="33" t="str">
        <x:v>DSD、低予算、省スペース</x:v>
      </x:c>
      <x:c r="H17" s="33" t="n">
        <x:v>4</x:v>
      </x:c>
      <x:c r="I17" s="24" t="str">
        <x:v>https://superbestaudiofriends.org/index.php?threads/schiit-gungnir-2-impressions-comparo.14741/
https://www.head-fi.org/showcase/schiit-audio-gungnir-2.27785/reviews
https://hifiaudio.guru/2025/07/07/schiit-audio-gungnir-2-balanced-multiform-dac-balanced-perfection/
https://audio-head.com/review-schiit-kara-f-pre-gungnir-2-dac-the-rest-of-the-gigastack/</x:v>
      </x:c>
    </x:row>
    <x:row r="18" ht="76" customHeight="1">
      <x:c r="A18" s="32" t="n">
        <x:v>14</x:v>
      </x:c>
      <x:c r="B18" s="26" t="str">
        <x:v>Yggdrasil</x:v>
      </x:c>
      <x:c r="C18" s="26" t="str">
        <x:v>LIMは滑らか、暖かい、中域前進、深く締まる低域。Singularは広大、ダイナミック、締まる低域、微細情報と定位という初期傾向。</x:v>
      </x:c>
      <x:c r="D18" s="26" t="str">
        <x:v>LIMは柔らかくロールオフし細部が弱いとの声。Singularは高価かつ新しく、SNR数値は聴感優劣を示さない。</x:v>
      </x:c>
      <x:c r="E18" s="32" t="str">
        <x:v>LIM High / Singular Low</x:v>
      </x:c>
      <x:c r="F18" s="32" t="str">
        <x:v>価格より設計思想、筐体、上位システム統合を優先。LIMは滑らかさ、Singularは新方式とForkbeard。</x:v>
      </x:c>
      <x:c r="G18" s="32" t="str">
        <x:v>費用対効果、DSD、省スペース、DAC差を確実な改善として買う用途</x:v>
      </x:c>
      <x:c r="H18" s="32" t="n">
        <x:v>4</x:v>
      </x:c>
      <x:c r="I18" s="26" t="str">
        <x:v>https://audiophilestyle.com/ca/reviews/review-schiit-yggdrasil-lim-vs-mib-with-byggy-on-the-horizon-r1370/
https://audiophilestyle.com/ca/reviews/yggdrasil-singular-my-favorite-schiit-audio-dac-to-date-r1400/
https://audiophilestyle.com/ca/reviews/schiit-audio-yggdrasil-less-is-more-review-r1049/
https://audio-head.com/review-schiit-yggdrasil-og-vs-less-is-more-vs-more-is-less/</x:v>
      </x:c>
    </x:row>
    <x:row r="19" ht="76" customHeight="1">
      <x:c r="A19" s="33" t="n">
        <x:v>15</x:v>
      </x:c>
      <x:c r="B19" s="24" t="str">
        <x:v>Fulla E</x:v>
      </x:c>
      <x:c r="C19" s="24" t="str">
        <x:v>甘さと下部中域の温かさ、明瞭さ、ゲーム/会議の利便性が好評。</x:v>
      </x:c>
      <x:c r="D19" s="24" t="str">
        <x:v>約90dB SINADや遅いフィルターを競合より弱いとする測定評価、ゲイン・マイク音量ノブなし。</x:v>
      </x:c>
      <x:c r="E19" s="33" t="str">
        <x:v>高</x:v>
      </x:c>
      <x:c r="F19" s="33" t="str">
        <x:v>PC、光入力、ヘッドセットマイク、簡単な一体型</x:v>
      </x:c>
      <x:c r="G19" s="33" t="str">
        <x:v>低能率平面駆動、高出力、アナログライン入力、ゲイン切替</x:v>
      </x:c>
      <x:c r="H19" s="33" t="n">
        <x:v>3</x:v>
      </x:c>
      <x:c r="I19" s="24" t="str">
        <x:v>https://www.audiosciencereview.com/forum/index.php?threads/schiit-fulla-e-dac-amp-review.40061/
https://superbestaudiofriends.org/index.php?threads/fulla-e-impressions-thread.11643/
https://avgadgets.com/a-headphone-amp-thats-fulla-schiit/</x:v>
      </x:c>
    </x:row>
    <x:row r="20" ht="76" customHeight="1">
      <x:c r="A20" s="32" t="n">
        <x:v>16</x:v>
      </x:c>
      <x:c r="B20" s="26" t="str">
        <x:v>Gunnr</x:v>
      </x:c>
      <x:c r="C20" s="26" t="str">
        <x:v>穏やかだが十分オーディオ的で、幅/プレゼンス操作がゲームと音楽に有用。負ゲインがIEMに強い。</x:v>
      </x:c>
      <x:c r="D20" s="26" t="str">
        <x:v>操作は信号を変え、USB単独は出力低下。XboxのUSBオーディオには非対応との注意。</x:v>
      </x:c>
      <x:c r="E20" s="32" t="str">
        <x:v>中</x:v>
      </x:c>
      <x:c r="F20" s="32" t="str">
        <x:v>CIEM、PCゲーム、マイク、音場・プレゼンス調整、一般ヘッドホン</x:v>
      </x:c>
      <x:c r="G20" s="32" t="str">
        <x:v>純粋なビットパーフェクト固定経路だけを求める、Xbox USB接続</x:v>
      </x:c>
      <x:c r="H20" s="32" t="n">
        <x:v>3</x:v>
      </x:c>
      <x:c r="I20" s="26" t="str">
        <x:v>https://superbestaudiofriends.org/index.php?threads/schiit-gunnr-review-sort-of.14712/
https://www.head-fi.org/threads/schiit-gunnr-is-in-the-house.974415/
https://www.ecoustics.com/products/schiit-gunnr/</x:v>
      </x:c>
    </x:row>
    <x:row r="21" ht="76" customHeight="1">
      <x:c r="A21" s="34" t="n">
        <x:v>17</x:v>
      </x:c>
      <x:c r="B21" s="25" t="str">
        <x:v>Lyr+ Last Call</x:v>
      </x:c>
      <x:c r="C21" s="25" t="str">
        <x:v>低域の質感、厚い中域、滑らかな高域、立体感と大出力が支持された。</x:v>
      </x:c>
      <x:c r="D21" s="25" t="str">
        <x:v>球とSS差が小さいとの声、初期個体の故障・修理報告があり、現在はLast Call。</x:v>
      </x:c>
      <x:c r="E21" s="34" t="str">
        <x:v>高</x:v>
      </x:c>
      <x:c r="F21" s="34" t="str">
        <x:v>在庫限り価格で大出力と6SN7/SS切替を得たい人</x:v>
      </x:c>
      <x:c r="G21" s="34" t="str">
        <x:v>長期の現行プラットフォーム、敏感なCIEM、後継Lyr 5のForkbeard/Haloが必要</x:v>
      </x:c>
      <x:c r="H21" s="34" t="n">
        <x:v>3</x:v>
      </x:c>
      <x:c r="I21" s="25" t="str">
        <x:v>https://ichos-reviews.com/schiit-lyr-review/
https://superbestaudiofriends.org/index.php?threads/schiit-lyr-review-or-random-thoughts-about-it.12754/
https://www.reddit.com/r/Schiit/comments/1clnp6x/lyr_owners_your_personal_experiences/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ff5d38bd906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95" hidden="0" customWidth="1"/>
  </x:cols>
  <x:sheetData>
    <x:row r="1" ht="34" customHeight="1">
      <x:c r="A1" s="4" t="str">
        <x:v>旧世代注意 — 名称と世代の混同防止</x:v>
      </x:c>
      <x:c r="B1" s="4"/>
      <x:c r="C1" s="4"/>
    </x:row>
    <x:row r="2" ht="27" customHeight="1">
      <x:c r="A2" s="9" t="str">
        <x:v>旧製品のレビューや旧DACカード評価を現行機へ直接流用しない</x:v>
      </x:c>
      <x:c r="B2" s="9"/>
      <x:c r="C2" s="9"/>
    </x:row>
    <x:row r="4" ht="30" customHeight="1">
      <x:c r="A4" s="15" t="str">
        <x:v>No.</x:v>
      </x:c>
      <x:c r="B4" s="15" t="str">
        <x:v>論点</x:v>
      </x:c>
      <x:c r="C4" s="15" t="str">
        <x:v>注意事項</x:v>
      </x:c>
    </x:row>
    <x:row r="5" ht="58" customHeight="1">
      <x:c r="A5" s="31" t="n">
        <x:v>1</x:v>
      </x:c>
      <x:c r="B5" s="23" t="str">
        <x:v>世代名</x:v>
      </x:c>
      <x:c r="C5" s="23" t="str">
        <x:v>Asgard 3、Jotunheim 2、Vali 2、Valhalla 2、Lyr 3/Lyr+、旧Fulla、旧Modiのレビューを現行機へ直接適用しない。</x:v>
      </x:c>
    </x:row>
    <x:row r="6" ht="58" customHeight="1">
      <x:c r="A6" s="32" t="n">
        <x:v>2</x:v>
      </x:c>
      <x:c r="B6" s="26" t="str">
        <x:v>Bifrost</x:v>
      </x:c>
      <x:c r="C6" s="26" t="str">
        <x:v>Bifrost 2と現行Bifrost 2/64はDACカードとレビュー傾向が異なる。</x:v>
      </x:c>
    </x:row>
    <x:row r="7" ht="58" customHeight="1">
      <x:c r="A7" s="33" t="n">
        <x:v>3</x:v>
      </x:c>
      <x:c r="B7" s="24" t="str">
        <x:v>Gungnir</x:v>
      </x:c>
      <x:c r="C7" s="24" t="str">
        <x:v>旧Gungnir/Gungnir Multibit（Gumby）とGungnir 2は別製品。</x:v>
      </x:c>
    </x:row>
    <x:row r="8" ht="58" customHeight="1">
      <x:c r="A8" s="32" t="n">
        <x:v>4</x:v>
      </x:c>
      <x:c r="B8" s="26" t="str">
        <x:v>Yggdrasil</x:v>
      </x:c>
      <x:c r="C8" s="26" t="str">
        <x:v>More Is Better（MIB）やOGはページ内で言及されても現行注文セレクターでは選べない。現行はLIMとSingular。</x:v>
      </x:c>
    </x:row>
    <x:row r="9" ht="58" customHeight="1">
      <x:c r="A9" s="33" t="n">
        <x:v>5</x:v>
      </x:c>
      <x:c r="B9" s="24" t="str">
        <x:v>Mesh</x:v>
      </x:c>
      <x:c r="C9" s="24" t="str">
        <x:v>Magni Unity、Asgard X、Jotunheim 3の旧DACカード評価と現行Mesh評価を混同しない。Magni用現行カードのチップ型番は公式記載を優先し、推測しない。</x:v>
      </x:c>
    </x:row>
    <x:row r="10" ht="58" customHeight="1">
      <x:c r="A10" s="32" t="n">
        <x:v>6</x:v>
      </x:c>
      <x:c r="B10" s="26" t="str">
        <x:v>balanced表記</x:v>
      </x:c>
      <x:c r="C10" s="26" t="str">
        <x:v>Midgardの4ピンXLR、Asgard X/Lyr 5の4.4mmはHaloであり真バランスではない。端子形状だけで回路方式を判断しない。</x:v>
      </x:c>
    </x:row>
    <x:row r="11" ht="58" customHeight="1">
      <x:c r="A11" s="34" t="n">
        <x:v>7</x:v>
      </x:c>
      <x:c r="B11" s="25" t="str">
        <x:v>価格</x:v>
      </x:c>
      <x:c r="C11" s="25" t="str">
        <x:v>価格は2026-07-18時点の米国公式表示、税・送料・関税・昇圧対策を含まない。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6394c2e53dd4b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27" hidden="0" customWidth="1"/>
    <x:col min="4" max="4" width="28" hidden="0" customWidth="1"/>
    <x:col min="5" max="5" width="33" hidden="0" customWidth="1"/>
    <x:col min="6" max="6" width="14" hidden="0" customWidth="1"/>
    <x:col min="7" max="7" width="72" hidden="0" customWidth="1"/>
  </x:cols>
  <x:sheetData>
    <x:row r="1" ht="34" customHeight="1">
      <x:c r="A1" s="4" t="str">
        <x:v>出典 — 行単位の監査トレイル</x:v>
      </x:c>
      <x:c r="B1" s="4"/>
      <x:c r="C1" s="4"/>
      <x:c r="D1" s="4"/>
      <x:c r="E1" s="4"/>
      <x:c r="F1" s="4"/>
      <x:c r="G1" s="4"/>
    </x:row>
    <x:row r="2" ht="27" customHeight="1">
      <x:c r="A2" s="9" t="str">
        <x:v>公式一次資料と独立レビュー/測定を分離。URLをプレーンテキストで収録</x:v>
      </x:c>
      <x:c r="B2" s="9"/>
      <x:c r="C2" s="9"/>
      <x:c r="D2" s="9"/>
      <x:c r="E2" s="9"/>
      <x:c r="F2" s="9"/>
      <x:c r="G2" s="9"/>
    </x:row>
    <x:row r="4" ht="30" customHeight="1">
      <x:c r="A4" s="15" t="str">
        <x:v>No.</x:v>
      </x:c>
      <x:c r="B4" s="15" t="str">
        <x:v>種別</x:v>
      </x:c>
      <x:c r="C4" s="15" t="str">
        <x:v>対象製品</x:v>
      </x:c>
      <x:c r="D4" s="15" t="str">
        <x:v>ドメイン</x:v>
      </x:c>
      <x:c r="E4" s="15" t="str">
        <x:v>使用目的</x:v>
      </x:c>
      <x:c r="F4" s="15" t="str">
        <x:v>位置付け</x:v>
      </x:c>
      <x:c r="G4" s="15" t="str">
        <x:v>URL</x:v>
      </x:c>
    </x:row>
    <x:row r="5" ht="42" customHeight="1">
      <x:c r="A5" s="31" t="n">
        <x:v>1</x:v>
      </x:c>
      <x:c r="B5" s="23" t="str">
        <x:v>公式</x:v>
      </x:c>
      <x:c r="C5" s="23" t="str">
        <x:v>Vestri</x:v>
      </x:c>
      <x:c r="D5" s="23" t="str">
        <x:v>schiit.com</x:v>
      </x:c>
      <x:c r="E5" s="23" t="str">
        <x:v>価格・仕様・状態</x:v>
      </x:c>
      <x:c r="F5" s="31" t="str">
        <x:v>一次資料</x:v>
      </x:c>
      <x:c r="G5" s="23" t="str">
        <x:v>https://www.schiit.com/products/vestri</x:v>
      </x:c>
    </x:row>
    <x:row r="6" ht="42" customHeight="1">
      <x:c r="A6" s="32" t="n">
        <x:v>2</x:v>
      </x:c>
      <x:c r="B6" s="26" t="str">
        <x:v>レビュー/測定</x:v>
      </x:c>
      <x:c r="C6" s="26" t="str">
        <x:v>Vestri</x:v>
      </x:c>
      <x:c r="D6" s="26" t="str">
        <x:v>superbestaudiofriends.org</x:v>
      </x:c>
      <x:c r="E6" s="26" t="str">
        <x:v>音質傾向・測定・反対意見</x:v>
      </x:c>
      <x:c r="F6" s="32" t="str">
        <x:v>低</x:v>
      </x:c>
      <x:c r="G6" s="26" t="str">
        <x:v>https://superbestaudiofriends.org/index.php?threads/schiit-vestri-usb-dongle-review-and-measurements.15637/</x:v>
      </x:c>
    </x:row>
    <x:row r="7" ht="42" customHeight="1">
      <x:c r="A7" s="33" t="n">
        <x:v>3</x:v>
      </x:c>
      <x:c r="B7" s="24" t="str">
        <x:v>レビュー/測定</x:v>
      </x:c>
      <x:c r="C7" s="24" t="str">
        <x:v>Vestri</x:v>
      </x:c>
      <x:c r="D7" s="24" t="str">
        <x:v>head-fi.org</x:v>
      </x:c>
      <x:c r="E7" s="24" t="str">
        <x:v>音質傾向・測定・反対意見</x:v>
      </x:c>
      <x:c r="F7" s="33" t="str">
        <x:v>低</x:v>
      </x:c>
      <x:c r="G7" s="24" t="str">
        <x:v>https://www.head-fi.org/threads/schiit-vestri-impressions-thread.980445/</x:v>
      </x:c>
    </x:row>
    <x:row r="8" ht="42" customHeight="1">
      <x:c r="A8" s="32" t="n">
        <x:v>4</x:v>
      </x:c>
      <x:c r="B8" s="26" t="str">
        <x:v>レビュー/測定</x:v>
      </x:c>
      <x:c r="C8" s="26" t="str">
        <x:v>Vestri</x:v>
      </x:c>
      <x:c r="D8" s="26" t="str">
        <x:v>audiophilestyle.com</x:v>
      </x:c>
      <x:c r="E8" s="26" t="str">
        <x:v>音質傾向・測定・反対意見</x:v>
      </x:c>
      <x:c r="F8" s="32" t="str">
        <x:v>低</x:v>
      </x:c>
      <x:c r="G8" s="26" t="str">
        <x:v>https://audiophilestyle.com/ca/reviews/review-schiit-audio-vestri-portable-r1429/</x:v>
      </x:c>
    </x:row>
    <x:row r="9" ht="42" customHeight="1">
      <x:c r="A9" s="33" t="n">
        <x:v>5</x:v>
      </x:c>
      <x:c r="B9" s="24" t="str">
        <x:v>公式</x:v>
      </x:c>
      <x:c r="C9" s="24" t="str">
        <x:v>Magni Unity</x:v>
      </x:c>
      <x:c r="D9" s="24" t="str">
        <x:v>schiit.com</x:v>
      </x:c>
      <x:c r="E9" s="24" t="str">
        <x:v>価格・仕様・状態</x:v>
      </x:c>
      <x:c r="F9" s="33" t="str">
        <x:v>一次資料</x:v>
      </x:c>
      <x:c r="G9" s="24" t="str">
        <x:v>https://www.schiit.com/products/magni-unity</x:v>
      </x:c>
    </x:row>
    <x:row r="10" ht="42" customHeight="1">
      <x:c r="A10" s="32" t="n">
        <x:v>6</x:v>
      </x:c>
      <x:c r="B10" s="26" t="str">
        <x:v>公式</x:v>
      </x:c>
      <x:c r="C10" s="26" t="str">
        <x:v>Magni Unity</x:v>
      </x:c>
      <x:c r="D10" s="26" t="str">
        <x:v>schiit.com</x:v>
      </x:c>
      <x:c r="E10" s="26" t="str">
        <x:v>価格・仕様・状態</x:v>
      </x:c>
      <x:c r="F10" s="32" t="str">
        <x:v>一次資料</x:v>
      </x:c>
      <x:c r="G10" s="26" t="str">
        <x:v>https://www.schiit.com/products/magni-unity-mesh-dac</x:v>
      </x:c>
    </x:row>
    <x:row r="11" ht="42" customHeight="1">
      <x:c r="A11" s="33" t="n">
        <x:v>7</x:v>
      </x:c>
      <x:c r="B11" s="24" t="str">
        <x:v>レビュー/測定</x:v>
      </x:c>
      <x:c r="C11" s="24" t="str">
        <x:v>Magni Unity</x:v>
      </x:c>
      <x:c r="D11" s="24" t="str">
        <x:v>pmamagazine.org</x:v>
      </x:c>
      <x:c r="E11" s="24" t="str">
        <x:v>音質傾向・測定・反対意見</x:v>
      </x:c>
      <x:c r="F11" s="33" t="str">
        <x:v>高</x:v>
      </x:c>
      <x:c r="G11" s="24" t="str">
        <x:v>https://pmamagazine.org/review-schiit-magni-unity-and-hifiman-arya-stealth-high-end-sound-for-less/</x:v>
      </x:c>
    </x:row>
    <x:row r="12" ht="42" customHeight="1">
      <x:c r="A12" s="32" t="n">
        <x:v>8</x:v>
      </x:c>
      <x:c r="B12" s="26" t="str">
        <x:v>レビュー/測定</x:v>
      </x:c>
      <x:c r="C12" s="26" t="str">
        <x:v>Magni Unity</x:v>
      </x:c>
      <x:c r="D12" s="26" t="str">
        <x:v>superbestaudiofriends.org</x:v>
      </x:c>
      <x:c r="E12" s="26" t="str">
        <x:v>音質傾向・測定・反対意見</x:v>
      </x:c>
      <x:c r="F12" s="32" t="str">
        <x:v>高</x:v>
      </x:c>
      <x:c r="G12" s="26" t="str">
        <x:v>https://superbestaudiofriends.org/index.php?threads/schiit-magni-unity-review-and-measurements.13965/</x:v>
      </x:c>
    </x:row>
    <x:row r="13" ht="42" customHeight="1">
      <x:c r="A13" s="33" t="n">
        <x:v>9</x:v>
      </x:c>
      <x:c r="B13" s="24" t="str">
        <x:v>レビュー/測定</x:v>
      </x:c>
      <x:c r="C13" s="24" t="str">
        <x:v>Magni Unity</x:v>
      </x:c>
      <x:c r="D13" s="24" t="str">
        <x:v>head-fi.org</x:v>
      </x:c>
      <x:c r="E13" s="24" t="str">
        <x:v>音質傾向・測定・反対意見</x:v>
      </x:c>
      <x:c r="F13" s="33" t="str">
        <x:v>高</x:v>
      </x:c>
      <x:c r="G13" s="24" t="str">
        <x:v>https://www.head-fi.org/threads/schiit-magni-unity-impressions-thread.970645/</x:v>
      </x:c>
    </x:row>
    <x:row r="14" ht="42" customHeight="1">
      <x:c r="A14" s="32" t="n">
        <x:v>10</x:v>
      </x:c>
      <x:c r="B14" s="26" t="str">
        <x:v>レビュー/測定</x:v>
      </x:c>
      <x:c r="C14" s="26" t="str">
        <x:v>Magni Unity</x:v>
      </x:c>
      <x:c r="D14" s="26" t="str">
        <x:v>audiosciencereview.com</x:v>
      </x:c>
      <x:c r="E14" s="26" t="str">
        <x:v>音質傾向・測定・反対意見</x:v>
      </x:c>
      <x:c r="F14" s="32" t="str">
        <x:v>高</x:v>
      </x:c>
      <x:c r="G14" s="26" t="str">
        <x:v>https://www.audiosciencereview.com/forum/index.php?threads/schiit-magni-unity-dac-hp-amp-review.68919/</x:v>
      </x:c>
    </x:row>
    <x:row r="15" ht="42" customHeight="1">
      <x:c r="A15" s="33" t="n">
        <x:v>11</x:v>
      </x:c>
      <x:c r="B15" s="24" t="str">
        <x:v>公式</x:v>
      </x:c>
      <x:c r="C15" s="24" t="str">
        <x:v>Asgard X</x:v>
      </x:c>
      <x:c r="D15" s="24" t="str">
        <x:v>schiit.com</x:v>
      </x:c>
      <x:c r="E15" s="24" t="str">
        <x:v>価格・仕様・状態</x:v>
      </x:c>
      <x:c r="F15" s="33" t="str">
        <x:v>一次資料</x:v>
      </x:c>
      <x:c r="G15" s="24" t="str">
        <x:v>https://www.schiit.com/products/asgard-x</x:v>
      </x:c>
    </x:row>
    <x:row r="16" ht="42" customHeight="1">
      <x:c r="A16" s="32" t="n">
        <x:v>12</x:v>
      </x:c>
      <x:c r="B16" s="26" t="str">
        <x:v>公式</x:v>
      </x:c>
      <x:c r="C16" s="26" t="str">
        <x:v>Asgard X / Jotunheim 3</x:v>
      </x:c>
      <x:c r="D16" s="26" t="str">
        <x:v>schiit.com</x:v>
      </x:c>
      <x:c r="E16" s="26" t="str">
        <x:v>価格・仕様・状態</x:v>
      </x:c>
      <x:c r="F16" s="32" t="str">
        <x:v>一次資料</x:v>
      </x:c>
      <x:c r="G16" s="26" t="str">
        <x:v>https://www.schiit.com/products/mesh-dac-card</x:v>
      </x:c>
    </x:row>
    <x:row r="17" ht="42" customHeight="1">
      <x:c r="A17" s="33" t="n">
        <x:v>13</x:v>
      </x:c>
      <x:c r="B17" s="24" t="str">
        <x:v>レビュー/測定</x:v>
      </x:c>
      <x:c r="C17" s="24" t="str">
        <x:v>Asgard X</x:v>
      </x:c>
      <x:c r="D17" s="24" t="str">
        <x:v>head-fi.org</x:v>
      </x:c>
      <x:c r="E17" s="24" t="str">
        <x:v>音質傾向・測定・反対意見</x:v>
      </x:c>
      <x:c r="F17" s="33" t="str">
        <x:v>中</x:v>
      </x:c>
      <x:c r="G17" s="24" t="str">
        <x:v>https://www.head-fi.org/threads/schiit-asgard-x-impressions-thread.977154/</x:v>
      </x:c>
    </x:row>
    <x:row r="18" ht="42" customHeight="1">
      <x:c r="A18" s="32" t="n">
        <x:v>14</x:v>
      </x:c>
      <x:c r="B18" s="26" t="str">
        <x:v>レビュー/測定</x:v>
      </x:c>
      <x:c r="C18" s="26" t="str">
        <x:v>Asgard X</x:v>
      </x:c>
      <x:c r="D18" s="26" t="str">
        <x:v>head-fi.org</x:v>
      </x:c>
      <x:c r="E18" s="26" t="str">
        <x:v>音質傾向・測定・反対意見</x:v>
      </x:c>
      <x:c r="F18" s="32" t="str">
        <x:v>中</x:v>
      </x:c>
      <x:c r="G18" s="26" t="str">
        <x:v>https://www.head-fi.org/showcase/schiit-asgard-x-the-best-asgard-yet.28358/reviews</x:v>
      </x:c>
    </x:row>
    <x:row r="19" ht="42" customHeight="1">
      <x:c r="A19" s="33" t="n">
        <x:v>15</x:v>
      </x:c>
      <x:c r="B19" s="24" t="str">
        <x:v>レビュー/測定</x:v>
      </x:c>
      <x:c r="C19" s="24" t="str">
        <x:v>Asgard X</x:v>
      </x:c>
      <x:c r="D19" s="24" t="str">
        <x:v>superbestaudiofriends.org</x:v>
      </x:c>
      <x:c r="E19" s="24" t="str">
        <x:v>音質傾向・測定・反対意見</x:v>
      </x:c>
      <x:c r="F19" s="33" t="str">
        <x:v>中</x:v>
      </x:c>
      <x:c r="G19" s="24" t="str">
        <x:v>https://superbestaudiofriends.org/index.php?threads/schiit-asgard-x-impressions.15230/</x:v>
      </x:c>
    </x:row>
    <x:row r="20" ht="42" customHeight="1">
      <x:c r="A20" s="32" t="n">
        <x:v>16</x:v>
      </x:c>
      <x:c r="B20" s="26" t="str">
        <x:v>公式</x:v>
      </x:c>
      <x:c r="C20" s="26" t="str">
        <x:v>Jotunheim 3</x:v>
      </x:c>
      <x:c r="D20" s="26" t="str">
        <x:v>schiit.com</x:v>
      </x:c>
      <x:c r="E20" s="26" t="str">
        <x:v>価格・仕様・状態</x:v>
      </x:c>
      <x:c r="F20" s="32" t="str">
        <x:v>一次資料</x:v>
      </x:c>
      <x:c r="G20" s="26" t="str">
        <x:v>https://www.schiit.com/products/jotunheim-3</x:v>
      </x:c>
    </x:row>
    <x:row r="21" ht="42" customHeight="1">
      <x:c r="A21" s="33" t="n">
        <x:v>17</x:v>
      </x:c>
      <x:c r="B21" s="24" t="str">
        <x:v>レビュー/測定</x:v>
      </x:c>
      <x:c r="C21" s="24" t="str">
        <x:v>Jotunheim 3</x:v>
      </x:c>
      <x:c r="D21" s="24" t="str">
        <x:v>head-fi.org</x:v>
      </x:c>
      <x:c r="E21" s="24" t="str">
        <x:v>音質傾向・測定・反対意見</x:v>
      </x:c>
      <x:c r="F21" s="33" t="str">
        <x:v>中</x:v>
      </x:c>
      <x:c r="G21" s="24" t="str">
        <x:v>https://www.head-fi.org/threads/schiit-jotunheim-3-impressions.977967/</x:v>
      </x:c>
    </x:row>
    <x:row r="22" ht="42" customHeight="1">
      <x:c r="A22" s="32" t="n">
        <x:v>18</x:v>
      </x:c>
      <x:c r="B22" s="26" t="str">
        <x:v>レビュー/測定</x:v>
      </x:c>
      <x:c r="C22" s="26" t="str">
        <x:v>Jotunheim 3</x:v>
      </x:c>
      <x:c r="D22" s="26" t="str">
        <x:v>superbestaudiofriends.org</x:v>
      </x:c>
      <x:c r="E22" s="26" t="str">
        <x:v>音質傾向・測定・反対意見</x:v>
      </x:c>
      <x:c r="F22" s="32" t="str">
        <x:v>中</x:v>
      </x:c>
      <x:c r="G22" s="26" t="str">
        <x:v>https://superbestaudiofriends.org/index.php?threads/jotunheim-3-impressions.15348/</x:v>
      </x:c>
    </x:row>
    <x:row r="23" ht="42" customHeight="1">
      <x:c r="A23" s="33" t="n">
        <x:v>19</x:v>
      </x:c>
      <x:c r="B23" s="24" t="str">
        <x:v>レビュー/測定</x:v>
      </x:c>
      <x:c r="C23" s="24" t="str">
        <x:v>Jotunheim 3</x:v>
      </x:c>
      <x:c r="D23" s="24" t="str">
        <x:v>ecoustics.com</x:v>
      </x:c>
      <x:c r="E23" s="24" t="str">
        <x:v>音質傾向・測定・反対意見</x:v>
      </x:c>
      <x:c r="F23" s="33" t="str">
        <x:v>中</x:v>
      </x:c>
      <x:c r="G23" s="24" t="str">
        <x:v>https://www.ecoustics.com/products/schiit-jotunheim-3/</x:v>
      </x:c>
    </x:row>
    <x:row r="24" ht="42" customHeight="1">
      <x:c r="A24" s="32" t="n">
        <x:v>20</x:v>
      </x:c>
      <x:c r="B24" s="26" t="str">
        <x:v>公式</x:v>
      </x:c>
      <x:c r="C24" s="26" t="str">
        <x:v>Vali 3</x:v>
      </x:c>
      <x:c r="D24" s="26" t="str">
        <x:v>schiit.com</x:v>
      </x:c>
      <x:c r="E24" s="26" t="str">
        <x:v>価格・仕様・状態</x:v>
      </x:c>
      <x:c r="F24" s="32" t="str">
        <x:v>一次資料</x:v>
      </x:c>
      <x:c r="G24" s="26" t="str">
        <x:v>https://www.schiit.com/products/vali3</x:v>
      </x:c>
    </x:row>
    <x:row r="25" ht="42" customHeight="1">
      <x:c r="A25" s="33" t="n">
        <x:v>21</x:v>
      </x:c>
      <x:c r="B25" s="24" t="str">
        <x:v>レビュー/測定</x:v>
      </x:c>
      <x:c r="C25" s="24" t="str">
        <x:v>Vali 3</x:v>
      </x:c>
      <x:c r="D25" s="24" t="str">
        <x:v>superbestaudiofriends.org</x:v>
      </x:c>
      <x:c r="E25" s="24" t="str">
        <x:v>音質傾向・測定・反対意見</x:v>
      </x:c>
      <x:c r="F25" s="33" t="str">
        <x:v>高</x:v>
      </x:c>
      <x:c r="G25" s="24" t="str">
        <x:v>https://superbestaudiofriends.org/index.php?threads/schiit-vali-3.14356/</x:v>
      </x:c>
    </x:row>
    <x:row r="26" ht="42" customHeight="1">
      <x:c r="A26" s="32" t="n">
        <x:v>22</x:v>
      </x:c>
      <x:c r="B26" s="26" t="str">
        <x:v>レビュー/測定</x:v>
      </x:c>
      <x:c r="C26" s="26" t="str">
        <x:v>Vali 3</x:v>
      </x:c>
      <x:c r="D26" s="26" t="str">
        <x:v>head-fi.org</x:v>
      </x:c>
      <x:c r="E26" s="26" t="str">
        <x:v>音質傾向・測定・反対意見</x:v>
      </x:c>
      <x:c r="F26" s="32" t="str">
        <x:v>高</x:v>
      </x:c>
      <x:c r="G26" s="26" t="str">
        <x:v>https://www.head-fi.org/threads/schiit-vali-3-impressions-thread.972014/</x:v>
      </x:c>
    </x:row>
    <x:row r="27" ht="42" customHeight="1">
      <x:c r="A27" s="33" t="n">
        <x:v>23</x:v>
      </x:c>
      <x:c r="B27" s="24" t="str">
        <x:v>レビュー/測定</x:v>
      </x:c>
      <x:c r="C27" s="24" t="str">
        <x:v>Vali 3</x:v>
      </x:c>
      <x:c r="D27" s="24" t="str">
        <x:v>stereonet.com</x:v>
      </x:c>
      <x:c r="E27" s="24" t="str">
        <x:v>音質傾向・測定・反対意見</x:v>
      </x:c>
      <x:c r="F27" s="33" t="str">
        <x:v>高</x:v>
      </x:c>
      <x:c r="G27" s="24" t="str">
        <x:v>https://www.stereonet.com/reviews/schiit-vali-3-headphone-amplifier-review</x:v>
      </x:c>
    </x:row>
    <x:row r="28" ht="42" customHeight="1">
      <x:c r="A28" s="32" t="n">
        <x:v>24</x:v>
      </x:c>
      <x:c r="B28" s="26" t="str">
        <x:v>公式</x:v>
      </x:c>
      <x:c r="C28" s="26" t="str">
        <x:v>Midgard</x:v>
      </x:c>
      <x:c r="D28" s="26" t="str">
        <x:v>schiit.com</x:v>
      </x:c>
      <x:c r="E28" s="26" t="str">
        <x:v>価格・仕様・状態</x:v>
      </x:c>
      <x:c r="F28" s="32" t="str">
        <x:v>一次資料</x:v>
      </x:c>
      <x:c r="G28" s="26" t="str">
        <x:v>https://www.schiit.com/products/midgard</x:v>
      </x:c>
    </x:row>
    <x:row r="29" ht="42" customHeight="1">
      <x:c r="A29" s="33" t="n">
        <x:v>25</x:v>
      </x:c>
      <x:c r="B29" s="24" t="str">
        <x:v>レビュー/測定</x:v>
      </x:c>
      <x:c r="C29" s="24" t="str">
        <x:v>Midgard</x:v>
      </x:c>
      <x:c r="D29" s="24" t="str">
        <x:v>audiosciencereview.com</x:v>
      </x:c>
      <x:c r="E29" s="24" t="str">
        <x:v>音質傾向・測定・反対意見</x:v>
      </x:c>
      <x:c r="F29" s="33" t="str">
        <x:v>高</x:v>
      </x:c>
      <x:c r="G29" s="24" t="str">
        <x:v>https://www.audiosciencereview.com/forum/index.php?threads/schiit-midgard-balanced-headphone-amp-review.48653/</x:v>
      </x:c>
    </x:row>
    <x:row r="30" ht="42" customHeight="1">
      <x:c r="A30" s="32" t="n">
        <x:v>26</x:v>
      </x:c>
      <x:c r="B30" s="26" t="str">
        <x:v>レビュー/測定</x:v>
      </x:c>
      <x:c r="C30" s="26" t="str">
        <x:v>Midgard</x:v>
      </x:c>
      <x:c r="D30" s="26" t="str">
        <x:v>ear-fidelity.com</x:v>
      </x:c>
      <x:c r="E30" s="26" t="str">
        <x:v>音質傾向・測定・反対意見</x:v>
      </x:c>
      <x:c r="F30" s="32" t="str">
        <x:v>高</x:v>
      </x:c>
      <x:c r="G30" s="26" t="str">
        <x:v>https://www.ear-fidelity.com/schiit-audio-midgard-review/</x:v>
      </x:c>
    </x:row>
    <x:row r="31" ht="42" customHeight="1">
      <x:c r="A31" s="33" t="n">
        <x:v>27</x:v>
      </x:c>
      <x:c r="B31" s="24" t="str">
        <x:v>レビュー/測定</x:v>
      </x:c>
      <x:c r="C31" s="24" t="str">
        <x:v>Midgard</x:v>
      </x:c>
      <x:c r="D31" s="24" t="str">
        <x:v>superbestaudiofriends.org</x:v>
      </x:c>
      <x:c r="E31" s="24" t="str">
        <x:v>音質傾向・測定・反対意見</x:v>
      </x:c>
      <x:c r="F31" s="33" t="str">
        <x:v>高</x:v>
      </x:c>
      <x:c r="G31" s="24" t="str">
        <x:v>https://superbestaudiofriends.org/index.php?threads/schiit-midgard-review-impressions-measurements-science.13897/</x:v>
      </x:c>
    </x:row>
    <x:row r="32" ht="42" customHeight="1">
      <x:c r="A32" s="32" t="n">
        <x:v>28</x:v>
      </x:c>
      <x:c r="B32" s="26" t="str">
        <x:v>レビュー/測定</x:v>
      </x:c>
      <x:c r="C32" s="26" t="str">
        <x:v>Midgard</x:v>
      </x:c>
      <x:c r="D32" s="26" t="str">
        <x:v>head-fi.org</x:v>
      </x:c>
      <x:c r="E32" s="26" t="str">
        <x:v>音質傾向・測定・反対意見</x:v>
      </x:c>
      <x:c r="F32" s="32" t="str">
        <x:v>高</x:v>
      </x:c>
      <x:c r="G32" s="26" t="str">
        <x:v>https://www.head-fi.org/threads/schiit-midgard-impressions-thread.970085/</x:v>
      </x:c>
    </x:row>
    <x:row r="33" ht="42" customHeight="1">
      <x:c r="A33" s="33" t="n">
        <x:v>29</x:v>
      </x:c>
      <x:c r="B33" s="24" t="str">
        <x:v>公式</x:v>
      </x:c>
      <x:c r="C33" s="24" t="str">
        <x:v>Valhalla 3</x:v>
      </x:c>
      <x:c r="D33" s="24" t="str">
        <x:v>schiit.com</x:v>
      </x:c>
      <x:c r="E33" s="24" t="str">
        <x:v>価格・仕様・状態</x:v>
      </x:c>
      <x:c r="F33" s="33" t="str">
        <x:v>一次資料</x:v>
      </x:c>
      <x:c r="G33" s="24" t="str">
        <x:v>https://www.schiit.com/products/valhalla-3</x:v>
      </x:c>
    </x:row>
    <x:row r="34" ht="42" customHeight="1">
      <x:c r="A34" s="32" t="n">
        <x:v>30</x:v>
      </x:c>
      <x:c r="B34" s="26" t="str">
        <x:v>レビュー/測定</x:v>
      </x:c>
      <x:c r="C34" s="26" t="str">
        <x:v>Valhalla 3</x:v>
      </x:c>
      <x:c r="D34" s="26" t="str">
        <x:v>superbestaudiofriends.org</x:v>
      </x:c>
      <x:c r="E34" s="26" t="str">
        <x:v>音質傾向・測定・反対意見</x:v>
      </x:c>
      <x:c r="F34" s="32" t="str">
        <x:v>中</x:v>
      </x:c>
      <x:c r="G34" s="26" t="str">
        <x:v>https://superbestaudiofriends.org/index.php?threads/schiit-valhalla-3-tube-headphone-amplifier-review.15091/</x:v>
      </x:c>
    </x:row>
    <x:row r="35" ht="42" customHeight="1">
      <x:c r="A35" s="33" t="n">
        <x:v>31</x:v>
      </x:c>
      <x:c r="B35" s="24" t="str">
        <x:v>レビュー/測定</x:v>
      </x:c>
      <x:c r="C35" s="24" t="str">
        <x:v>Valhalla 3</x:v>
      </x:c>
      <x:c r="D35" s="24" t="str">
        <x:v>head-fi.org</x:v>
      </x:c>
      <x:c r="E35" s="24" t="str">
        <x:v>音質傾向・測定・反対意見</x:v>
      </x:c>
      <x:c r="F35" s="33" t="str">
        <x:v>中</x:v>
      </x:c>
      <x:c r="G35" s="24" t="str">
        <x:v>https://www.head-fi.org/threads/schiit-valhalla-3-impressions-thread.976031/</x:v>
      </x:c>
    </x:row>
    <x:row r="36" ht="42" customHeight="1">
      <x:c r="A36" s="32" t="n">
        <x:v>32</x:v>
      </x:c>
      <x:c r="B36" s="26" t="str">
        <x:v>レビュー/測定</x:v>
      </x:c>
      <x:c r="C36" s="26" t="str">
        <x:v>Valhalla 3</x:v>
      </x:c>
      <x:c r="D36" s="26" t="str">
        <x:v>forum.hifiguides.com</x:v>
      </x:c>
      <x:c r="E36" s="26" t="str">
        <x:v>音質傾向・測定・反対意見</x:v>
      </x:c>
      <x:c r="F36" s="32" t="str">
        <x:v>中</x:v>
      </x:c>
      <x:c r="G36" s="26" t="str">
        <x:v>https://forum.hifiguides.com/t/schiit-audio-valhalla-3/45231</x:v>
      </x:c>
    </x:row>
    <x:row r="37" ht="42" customHeight="1">
      <x:c r="A37" s="33" t="n">
        <x:v>33</x:v>
      </x:c>
      <x:c r="B37" s="24" t="str">
        <x:v>公式</x:v>
      </x:c>
      <x:c r="C37" s="24" t="str">
        <x:v>Lyr 5</x:v>
      </x:c>
      <x:c r="D37" s="24" t="str">
        <x:v>schiit.com</x:v>
      </x:c>
      <x:c r="E37" s="24" t="str">
        <x:v>価格・仕様・状態</x:v>
      </x:c>
      <x:c r="F37" s="33" t="str">
        <x:v>一次資料</x:v>
      </x:c>
      <x:c r="G37" s="24" t="str">
        <x:v>https://www.schiit.com/products/lyr-5</x:v>
      </x:c>
    </x:row>
    <x:row r="38" ht="42" customHeight="1">
      <x:c r="A38" s="32" t="n">
        <x:v>34</x:v>
      </x:c>
      <x:c r="B38" s="26" t="str">
        <x:v>レビュー/測定</x:v>
      </x:c>
      <x:c r="C38" s="26" t="str">
        <x:v>Lyr 5</x:v>
      </x:c>
      <x:c r="D38" s="26" t="str">
        <x:v>superbestaudiofriends.org</x:v>
      </x:c>
      <x:c r="E38" s="26" t="str">
        <x:v>音質傾向・測定・反対意見</x:v>
      </x:c>
      <x:c r="F38" s="32" t="str">
        <x:v>低</x:v>
      </x:c>
      <x:c r="G38" s="26" t="str">
        <x:v>https://superbestaudiofriends.org/index.php?threads/schiit-lyr-5-impressions.15573/</x:v>
      </x:c>
    </x:row>
    <x:row r="39" ht="42" customHeight="1">
      <x:c r="A39" s="33" t="n">
        <x:v>35</x:v>
      </x:c>
      <x:c r="B39" s="24" t="str">
        <x:v>レビュー/測定</x:v>
      </x:c>
      <x:c r="C39" s="24" t="str">
        <x:v>Lyr 5</x:v>
      </x:c>
      <x:c r="D39" s="24" t="str">
        <x:v>head-fi.org</x:v>
      </x:c>
      <x:c r="E39" s="24" t="str">
        <x:v>音質傾向・測定・反対意見</x:v>
      </x:c>
      <x:c r="F39" s="33" t="str">
        <x:v>低</x:v>
      </x:c>
      <x:c r="G39" s="24" t="str">
        <x:v>https://www.head-fi.org/threads/schiit-lyr-5-impressions-thread.979306/</x:v>
      </x:c>
    </x:row>
    <x:row r="40" ht="42" customHeight="1">
      <x:c r="A40" s="32" t="n">
        <x:v>36</x:v>
      </x:c>
      <x:c r="B40" s="26" t="str">
        <x:v>公式</x:v>
      </x:c>
      <x:c r="C40" s="26" t="str">
        <x:v>Mjolnir 3</x:v>
      </x:c>
      <x:c r="D40" s="26" t="str">
        <x:v>schiit.com</x:v>
      </x:c>
      <x:c r="E40" s="26" t="str">
        <x:v>価格・仕様・状態</x:v>
      </x:c>
      <x:c r="F40" s="32" t="str">
        <x:v>一次資料</x:v>
      </x:c>
      <x:c r="G40" s="26" t="str">
        <x:v>https://www.schiit.com/products/mjolnir-3</x:v>
      </x:c>
    </x:row>
    <x:row r="41" ht="42" customHeight="1">
      <x:c r="A41" s="33" t="n">
        <x:v>37</x:v>
      </x:c>
      <x:c r="B41" s="24" t="str">
        <x:v>レビュー/測定</x:v>
      </x:c>
      <x:c r="C41" s="24" t="str">
        <x:v>Mjolnir 3</x:v>
      </x:c>
      <x:c r="D41" s="24" t="str">
        <x:v>superbestaudiofriends.org</x:v>
      </x:c>
      <x:c r="E41" s="24" t="str">
        <x:v>音質傾向・測定・反対意見</x:v>
      </x:c>
      <x:c r="F41" s="33" t="str">
        <x:v>高</x:v>
      </x:c>
      <x:c r="G41" s="24" t="str">
        <x:v>https://superbestaudiofriends.org/index.php?threads/schiit-mjolnir-3-impressions.13699/</x:v>
      </x:c>
    </x:row>
    <x:row r="42" ht="42" customHeight="1">
      <x:c r="A42" s="32" t="n">
        <x:v>38</x:v>
      </x:c>
      <x:c r="B42" s="26" t="str">
        <x:v>レビュー/測定</x:v>
      </x:c>
      <x:c r="C42" s="26" t="str">
        <x:v>Mjolnir 3</x:v>
      </x:c>
      <x:c r="D42" s="26" t="str">
        <x:v>head-fi.org</x:v>
      </x:c>
      <x:c r="E42" s="26" t="str">
        <x:v>音質傾向・測定・反対意見</x:v>
      </x:c>
      <x:c r="F42" s="32" t="str">
        <x:v>高</x:v>
      </x:c>
      <x:c r="G42" s="26" t="str">
        <x:v>https://www.head-fi.org/threads/schiit-mjolnir-3-impressions-thread.969416/</x:v>
      </x:c>
    </x:row>
    <x:row r="43" ht="42" customHeight="1">
      <x:c r="A43" s="33" t="n">
        <x:v>39</x:v>
      </x:c>
      <x:c r="B43" s="24" t="str">
        <x:v>レビュー/測定</x:v>
      </x:c>
      <x:c r="C43" s="24" t="str">
        <x:v>Mjolnir 3</x:v>
      </x:c>
      <x:c r="D43" s="24" t="str">
        <x:v>forum.headphones.com</x:v>
      </x:c>
      <x:c r="E43" s="24" t="str">
        <x:v>音質傾向・測定・反対意見</x:v>
      </x:c>
      <x:c r="F43" s="33" t="str">
        <x:v>高</x:v>
      </x:c>
      <x:c r="G43" s="24" t="str">
        <x:v>https://forum.headphones.com/t/schiit-mjolnir-3/22016</x:v>
      </x:c>
    </x:row>
    <x:row r="44" ht="42" customHeight="1">
      <x:c r="A44" s="32" t="n">
        <x:v>40</x:v>
      </x:c>
      <x:c r="B44" s="26" t="str">
        <x:v>公式</x:v>
      </x:c>
      <x:c r="C44" s="26" t="str">
        <x:v>Modi 5</x:v>
      </x:c>
      <x:c r="D44" s="26" t="str">
        <x:v>schiit.com</x:v>
      </x:c>
      <x:c r="E44" s="26" t="str">
        <x:v>価格・仕様・状態</x:v>
      </x:c>
      <x:c r="F44" s="32" t="str">
        <x:v>一次資料</x:v>
      </x:c>
      <x:c r="G44" s="26" t="str">
        <x:v>https://www.schiit.com/products/modi-5</x:v>
      </x:c>
    </x:row>
    <x:row r="45" ht="42" customHeight="1">
      <x:c r="A45" s="33" t="n">
        <x:v>41</x:v>
      </x:c>
      <x:c r="B45" s="24" t="str">
        <x:v>レビュー/測定</x:v>
      </x:c>
      <x:c r="C45" s="24" t="str">
        <x:v>Modi 5</x:v>
      </x:c>
      <x:c r="D45" s="24" t="str">
        <x:v>head-fi.org</x:v>
      </x:c>
      <x:c r="E45" s="24" t="str">
        <x:v>音質傾向・測定・反対意見</x:v>
      </x:c>
      <x:c r="F45" s="33" t="str">
        <x:v>中</x:v>
      </x:c>
      <x:c r="G45" s="24" t="str">
        <x:v>https://www.head-fi.org/threads/schiit-modi-5-impressions-thread.978894/</x:v>
      </x:c>
    </x:row>
    <x:row r="46" ht="42" customHeight="1">
      <x:c r="A46" s="32" t="n">
        <x:v>42</x:v>
      </x:c>
      <x:c r="B46" s="26" t="str">
        <x:v>レビュー/測定</x:v>
      </x:c>
      <x:c r="C46" s="26" t="str">
        <x:v>Modi 5</x:v>
      </x:c>
      <x:c r="D46" s="26" t="str">
        <x:v>superbestaudiofriends.org</x:v>
      </x:c>
      <x:c r="E46" s="26" t="str">
        <x:v>音質傾向・測定・反対意見</x:v>
      </x:c>
      <x:c r="F46" s="32" t="str">
        <x:v>中</x:v>
      </x:c>
      <x:c r="G46" s="26" t="str">
        <x:v>https://superbestaudiofriends.org/index.php?threads/schiit-unity-mesh-dac-card-modi-5-stream-of-consciousness-review.15392/</x:v>
      </x:c>
    </x:row>
    <x:row r="47" ht="42" customHeight="1">
      <x:c r="A47" s="33" t="n">
        <x:v>43</x:v>
      </x:c>
      <x:c r="B47" s="24" t="str">
        <x:v>レビュー/測定</x:v>
      </x:c>
      <x:c r="C47" s="24" t="str">
        <x:v>Modi 5</x:v>
      </x:c>
      <x:c r="D47" s="24" t="str">
        <x:v>darko.audio</x:v>
      </x:c>
      <x:c r="E47" s="24" t="str">
        <x:v>音質傾向・測定・反対意見</x:v>
      </x:c>
      <x:c r="F47" s="33" t="str">
        <x:v>中</x:v>
      </x:c>
      <x:c r="G47" s="24" t="str">
        <x:v>https://darko.audio/2025/12/schiits-149-modi-5-199-magni-unity-land-with-mesh/</x:v>
      </x:c>
    </x:row>
    <x:row r="48" ht="42" customHeight="1">
      <x:c r="A48" s="32" t="n">
        <x:v>44</x:v>
      </x:c>
      <x:c r="B48" s="26" t="str">
        <x:v>公式</x:v>
      </x:c>
      <x:c r="C48" s="26" t="str">
        <x:v>Mimir</x:v>
      </x:c>
      <x:c r="D48" s="26" t="str">
        <x:v>schiit.com</x:v>
      </x:c>
      <x:c r="E48" s="26" t="str">
        <x:v>価格・仕様・状態</x:v>
      </x:c>
      <x:c r="F48" s="32" t="str">
        <x:v>一次資料</x:v>
      </x:c>
      <x:c r="G48" s="26" t="str">
        <x:v>https://www.schiit.com/products/mimir</x:v>
      </x:c>
    </x:row>
    <x:row r="49" ht="42" customHeight="1">
      <x:c r="A49" s="33" t="n">
        <x:v>45</x:v>
      </x:c>
      <x:c r="B49" s="24" t="str">
        <x:v>レビュー/測定</x:v>
      </x:c>
      <x:c r="C49" s="24" t="str">
        <x:v>Mimir</x:v>
      </x:c>
      <x:c r="D49" s="24" t="str">
        <x:v>superbestaudiofriends.org</x:v>
      </x:c>
      <x:c r="E49" s="24" t="str">
        <x:v>音質傾向・測定・反対意見</x:v>
      </x:c>
      <x:c r="F49" s="33" t="str">
        <x:v>中</x:v>
      </x:c>
      <x:c r="G49" s="24" t="str">
        <x:v>https://superbestaudiofriends.org/index.php?threads/schiit-mimir-mesh-and-forkbeard-dac-preview.15060/</x:v>
      </x:c>
    </x:row>
    <x:row r="50" ht="42" customHeight="1">
      <x:c r="A50" s="32" t="n">
        <x:v>46</x:v>
      </x:c>
      <x:c r="B50" s="26" t="str">
        <x:v>レビュー/測定</x:v>
      </x:c>
      <x:c r="C50" s="26" t="str">
        <x:v>Mimir</x:v>
      </x:c>
      <x:c r="D50" s="26" t="str">
        <x:v>superbestaudiofriends.org</x:v>
      </x:c>
      <x:c r="E50" s="26" t="str">
        <x:v>音質傾向・測定・反対意見</x:v>
      </x:c>
      <x:c r="F50" s="32" t="str">
        <x:v>中</x:v>
      </x:c>
      <x:c r="G50" s="26" t="str">
        <x:v>https://superbestaudiofriends.org/index.php?threads/schiit-mimir-f-2-technical-measurements.15536/</x:v>
      </x:c>
    </x:row>
    <x:row r="51" ht="42" customHeight="1">
      <x:c r="A51" s="33" t="n">
        <x:v>47</x:v>
      </x:c>
      <x:c r="B51" s="24" t="str">
        <x:v>レビュー/測定</x:v>
      </x:c>
      <x:c r="C51" s="24" t="str">
        <x:v>Mimir</x:v>
      </x:c>
      <x:c r="D51" s="24" t="str">
        <x:v>head-fi.org</x:v>
      </x:c>
      <x:c r="E51" s="24" t="str">
        <x:v>音質傾向・測定・反対意見</x:v>
      </x:c>
      <x:c r="F51" s="33" t="str">
        <x:v>中</x:v>
      </x:c>
      <x:c r="G51" s="24" t="str">
        <x:v>https://www.head-fi.org/showcase/schiit-mimir-dac.28360/reviews</x:v>
      </x:c>
    </x:row>
    <x:row r="52" ht="42" customHeight="1">
      <x:c r="A52" s="32" t="n">
        <x:v>48</x:v>
      </x:c>
      <x:c r="B52" s="26" t="str">
        <x:v>レビュー/測定</x:v>
      </x:c>
      <x:c r="C52" s="26" t="str">
        <x:v>Mimir</x:v>
      </x:c>
      <x:c r="D52" s="26" t="str">
        <x:v>audiosciencereview.com</x:v>
      </x:c>
      <x:c r="E52" s="26" t="str">
        <x:v>音質傾向・測定・反対意見</x:v>
      </x:c>
      <x:c r="F52" s="32" t="str">
        <x:v>中</x:v>
      </x:c>
      <x:c r="G52" s="26" t="str">
        <x:v>https://www.audiosciencereview.com/forum/index.php?threads/anyone-buy-the-new-schiit-mimir-yet.62409/</x:v>
      </x:c>
    </x:row>
    <x:row r="53" ht="42" customHeight="1">
      <x:c r="A53" s="33" t="n">
        <x:v>49</x:v>
      </x:c>
      <x:c r="B53" s="24" t="str">
        <x:v>公式</x:v>
      </x:c>
      <x:c r="C53" s="24" t="str">
        <x:v>Bifrost 2/64</x:v>
      </x:c>
      <x:c r="D53" s="24" t="str">
        <x:v>schiit.com</x:v>
      </x:c>
      <x:c r="E53" s="24" t="str">
        <x:v>価格・仕様・状態</x:v>
      </x:c>
      <x:c r="F53" s="33" t="str">
        <x:v>一次資料</x:v>
      </x:c>
      <x:c r="G53" s="24" t="str">
        <x:v>https://www.schiit.com/products/bifrost</x:v>
      </x:c>
    </x:row>
    <x:row r="54" ht="42" customHeight="1">
      <x:c r="A54" s="32" t="n">
        <x:v>50</x:v>
      </x:c>
      <x:c r="B54" s="26" t="str">
        <x:v>レビュー/測定</x:v>
      </x:c>
      <x:c r="C54" s="26" t="str">
        <x:v>Bifrost 2/64</x:v>
      </x:c>
      <x:c r="D54" s="26" t="str">
        <x:v>audio-head.com</x:v>
      </x:c>
      <x:c r="E54" s="26" t="str">
        <x:v>音質傾向・測定・反対意見</x:v>
      </x:c>
      <x:c r="F54" s="32" t="str">
        <x:v>高</x:v>
      </x:c>
      <x:c r="G54" s="26" t="str">
        <x:v>https://audio-head.com/schiit-bifrost-2-vs-bifrost-2-64-a-schiit-shootout/</x:v>
      </x:c>
    </x:row>
    <x:row r="55" ht="42" customHeight="1">
      <x:c r="A55" s="33" t="n">
        <x:v>51</x:v>
      </x:c>
      <x:c r="B55" s="24" t="str">
        <x:v>レビュー/測定</x:v>
      </x:c>
      <x:c r="C55" s="24" t="str">
        <x:v>Bifrost 2/64</x:v>
      </x:c>
      <x:c r="D55" s="24" t="str">
        <x:v>hear.audio</x:v>
      </x:c>
      <x:c r="E55" s="24" t="str">
        <x:v>音質傾向・測定・反対意見</x:v>
      </x:c>
      <x:c r="F55" s="33" t="str">
        <x:v>高</x:v>
      </x:c>
      <x:c r="G55" s="24" t="str">
        <x:v>https://hear.audio/2024/12/28/schiit-audio-bifrost-2-64-review/</x:v>
      </x:c>
    </x:row>
    <x:row r="56" ht="42" customHeight="1">
      <x:c r="A56" s="32" t="n">
        <x:v>52</x:v>
      </x:c>
      <x:c r="B56" s="26" t="str">
        <x:v>レビュー/測定</x:v>
      </x:c>
      <x:c r="C56" s="26" t="str">
        <x:v>Bifrost 2/64</x:v>
      </x:c>
      <x:c r="D56" s="26" t="str">
        <x:v>audiosciencereview.com</x:v>
      </x:c>
      <x:c r="E56" s="26" t="str">
        <x:v>音質傾向・測定・反対意見</x:v>
      </x:c>
      <x:c r="F56" s="32" t="str">
        <x:v>高</x:v>
      </x:c>
      <x:c r="G56" s="26" t="str">
        <x:v>https://www.audiosciencereview.com/forum/index.php?threads/bifrost-2-64.45857/</x:v>
      </x:c>
    </x:row>
    <x:row r="57" ht="42" customHeight="1">
      <x:c r="A57" s="33" t="n">
        <x:v>53</x:v>
      </x:c>
      <x:c r="B57" s="24" t="str">
        <x:v>レビュー/測定</x:v>
      </x:c>
      <x:c r="C57" s="24" t="str">
        <x:v>Bifrost 2/64</x:v>
      </x:c>
      <x:c r="D57" s="24" t="str">
        <x:v>head-fi.org</x:v>
      </x:c>
      <x:c r="E57" s="24" t="str">
        <x:v>音質傾向・測定・反対意見</x:v>
      </x:c>
      <x:c r="F57" s="33" t="str">
        <x:v>高</x:v>
      </x:c>
      <x:c r="G57" s="24" t="str">
        <x:v>https://www.head-fi.org/showcase/schiit-audio-bifrost-2.24927/reviews</x:v>
      </x:c>
    </x:row>
    <x:row r="58" ht="42" customHeight="1">
      <x:c r="A58" s="32" t="n">
        <x:v>54</x:v>
      </x:c>
      <x:c r="B58" s="26" t="str">
        <x:v>公式</x:v>
      </x:c>
      <x:c r="C58" s="26" t="str">
        <x:v>Gungnir 2</x:v>
      </x:c>
      <x:c r="D58" s="26" t="str">
        <x:v>schiit.com</x:v>
      </x:c>
      <x:c r="E58" s="26" t="str">
        <x:v>価格・仕様・状態</x:v>
      </x:c>
      <x:c r="F58" s="32" t="str">
        <x:v>一次資料</x:v>
      </x:c>
      <x:c r="G58" s="26" t="str">
        <x:v>https://www.schiit.com/products/gungnir-2</x:v>
      </x:c>
    </x:row>
    <x:row r="59" ht="42" customHeight="1">
      <x:c r="A59" s="33" t="n">
        <x:v>55</x:v>
      </x:c>
      <x:c r="B59" s="24" t="str">
        <x:v>レビュー/測定</x:v>
      </x:c>
      <x:c r="C59" s="24" t="str">
        <x:v>Gungnir 2</x:v>
      </x:c>
      <x:c r="D59" s="24" t="str">
        <x:v>superbestaudiofriends.org</x:v>
      </x:c>
      <x:c r="E59" s="24" t="str">
        <x:v>音質傾向・測定・反対意見</x:v>
      </x:c>
      <x:c r="F59" s="33" t="str">
        <x:v>中</x:v>
      </x:c>
      <x:c r="G59" s="24" t="str">
        <x:v>https://superbestaudiofriends.org/index.php?threads/schiit-gungnir-2-impressions-comparo.14741/</x:v>
      </x:c>
    </x:row>
    <x:row r="60" ht="42" customHeight="1">
      <x:c r="A60" s="32" t="n">
        <x:v>56</x:v>
      </x:c>
      <x:c r="B60" s="26" t="str">
        <x:v>レビュー/測定</x:v>
      </x:c>
      <x:c r="C60" s="26" t="str">
        <x:v>Gungnir 2</x:v>
      </x:c>
      <x:c r="D60" s="26" t="str">
        <x:v>head-fi.org</x:v>
      </x:c>
      <x:c r="E60" s="26" t="str">
        <x:v>音質傾向・測定・反対意見</x:v>
      </x:c>
      <x:c r="F60" s="32" t="str">
        <x:v>中</x:v>
      </x:c>
      <x:c r="G60" s="26" t="str">
        <x:v>https://www.head-fi.org/showcase/schiit-audio-gungnir-2.27785/reviews</x:v>
      </x:c>
    </x:row>
    <x:row r="61" ht="42" customHeight="1">
      <x:c r="A61" s="33" t="n">
        <x:v>57</x:v>
      </x:c>
      <x:c r="B61" s="24" t="str">
        <x:v>レビュー/測定</x:v>
      </x:c>
      <x:c r="C61" s="24" t="str">
        <x:v>Gungnir 2</x:v>
      </x:c>
      <x:c r="D61" s="24" t="str">
        <x:v>hifiaudio.guru</x:v>
      </x:c>
      <x:c r="E61" s="24" t="str">
        <x:v>音質傾向・測定・反対意見</x:v>
      </x:c>
      <x:c r="F61" s="33" t="str">
        <x:v>中</x:v>
      </x:c>
      <x:c r="G61" s="24" t="str">
        <x:v>https://hifiaudio.guru/2025/07/07/schiit-audio-gungnir-2-balanced-multiform-dac-balanced-perfection/</x:v>
      </x:c>
    </x:row>
    <x:row r="62" ht="42" customHeight="1">
      <x:c r="A62" s="32" t="n">
        <x:v>58</x:v>
      </x:c>
      <x:c r="B62" s="26" t="str">
        <x:v>レビュー/測定</x:v>
      </x:c>
      <x:c r="C62" s="26" t="str">
        <x:v>Gungnir 2</x:v>
      </x:c>
      <x:c r="D62" s="26" t="str">
        <x:v>audio-head.com</x:v>
      </x:c>
      <x:c r="E62" s="26" t="str">
        <x:v>音質傾向・測定・反対意見</x:v>
      </x:c>
      <x:c r="F62" s="32" t="str">
        <x:v>中</x:v>
      </x:c>
      <x:c r="G62" s="26" t="str">
        <x:v>https://audio-head.com/review-schiit-kara-f-pre-gungnir-2-dac-the-rest-of-the-gigastack/</x:v>
      </x:c>
    </x:row>
    <x:row r="63" ht="42" customHeight="1">
      <x:c r="A63" s="33" t="n">
        <x:v>59</x:v>
      </x:c>
      <x:c r="B63" s="24" t="str">
        <x:v>公式</x:v>
      </x:c>
      <x:c r="C63" s="24" t="str">
        <x:v>Yggdrasil</x:v>
      </x:c>
      <x:c r="D63" s="24" t="str">
        <x:v>schiit.com</x:v>
      </x:c>
      <x:c r="E63" s="24" t="str">
        <x:v>価格・仕様・状態</x:v>
      </x:c>
      <x:c r="F63" s="33" t="str">
        <x:v>一次資料</x:v>
      </x:c>
      <x:c r="G63" s="24" t="str">
        <x:v>https://www.schiit.com/products/yggdrasil</x:v>
      </x:c>
    </x:row>
    <x:row r="64" ht="42" customHeight="1">
      <x:c r="A64" s="32" t="n">
        <x:v>60</x:v>
      </x:c>
      <x:c r="B64" s="26" t="str">
        <x:v>レビュー/測定</x:v>
      </x:c>
      <x:c r="C64" s="26" t="str">
        <x:v>Yggdrasil</x:v>
      </x:c>
      <x:c r="D64" s="26" t="str">
        <x:v>audiophilestyle.com</x:v>
      </x:c>
      <x:c r="E64" s="26" t="str">
        <x:v>音質傾向・測定・反対意見</x:v>
      </x:c>
      <x:c r="F64" s="32" t="str">
        <x:v>LIM High / Singular Low</x:v>
      </x:c>
      <x:c r="G64" s="26" t="str">
        <x:v>https://audiophilestyle.com/ca/reviews/review-schiit-yggdrasil-lim-vs-mib-with-byggy-on-the-horizon-r1370/</x:v>
      </x:c>
    </x:row>
    <x:row r="65" ht="42" customHeight="1">
      <x:c r="A65" s="33" t="n">
        <x:v>61</x:v>
      </x:c>
      <x:c r="B65" s="24" t="str">
        <x:v>レビュー/測定</x:v>
      </x:c>
      <x:c r="C65" s="24" t="str">
        <x:v>Yggdrasil</x:v>
      </x:c>
      <x:c r="D65" s="24" t="str">
        <x:v>audiophilestyle.com</x:v>
      </x:c>
      <x:c r="E65" s="24" t="str">
        <x:v>音質傾向・測定・反対意見</x:v>
      </x:c>
      <x:c r="F65" s="33" t="str">
        <x:v>LIM High / Singular Low</x:v>
      </x:c>
      <x:c r="G65" s="24" t="str">
        <x:v>https://audiophilestyle.com/ca/reviews/yggdrasil-singular-my-favorite-schiit-audio-dac-to-date-r1400/</x:v>
      </x:c>
    </x:row>
    <x:row r="66" ht="42" customHeight="1">
      <x:c r="A66" s="32" t="n">
        <x:v>62</x:v>
      </x:c>
      <x:c r="B66" s="26" t="str">
        <x:v>レビュー/測定</x:v>
      </x:c>
      <x:c r="C66" s="26" t="str">
        <x:v>Yggdrasil</x:v>
      </x:c>
      <x:c r="D66" s="26" t="str">
        <x:v>audiophilestyle.com</x:v>
      </x:c>
      <x:c r="E66" s="26" t="str">
        <x:v>音質傾向・測定・反対意見</x:v>
      </x:c>
      <x:c r="F66" s="32" t="str">
        <x:v>LIM High / Singular Low</x:v>
      </x:c>
      <x:c r="G66" s="26" t="str">
        <x:v>https://audiophilestyle.com/ca/reviews/schiit-audio-yggdrasil-less-is-more-review-r1049/</x:v>
      </x:c>
    </x:row>
    <x:row r="67" ht="42" customHeight="1">
      <x:c r="A67" s="33" t="n">
        <x:v>63</x:v>
      </x:c>
      <x:c r="B67" s="24" t="str">
        <x:v>レビュー/測定</x:v>
      </x:c>
      <x:c r="C67" s="24" t="str">
        <x:v>Yggdrasil</x:v>
      </x:c>
      <x:c r="D67" s="24" t="str">
        <x:v>audio-head.com</x:v>
      </x:c>
      <x:c r="E67" s="24" t="str">
        <x:v>音質傾向・測定・反対意見</x:v>
      </x:c>
      <x:c r="F67" s="33" t="str">
        <x:v>LIM High / Singular Low</x:v>
      </x:c>
      <x:c r="G67" s="24" t="str">
        <x:v>https://audio-head.com/review-schiit-yggdrasil-og-vs-less-is-more-vs-more-is-less/</x:v>
      </x:c>
    </x:row>
    <x:row r="68" ht="42" customHeight="1">
      <x:c r="A68" s="32" t="n">
        <x:v>64</x:v>
      </x:c>
      <x:c r="B68" s="26" t="str">
        <x:v>公式</x:v>
      </x:c>
      <x:c r="C68" s="26" t="str">
        <x:v>Fulla E</x:v>
      </x:c>
      <x:c r="D68" s="26" t="str">
        <x:v>schiit.com</x:v>
      </x:c>
      <x:c r="E68" s="26" t="str">
        <x:v>価格・仕様・状態</x:v>
      </x:c>
      <x:c r="F68" s="32" t="str">
        <x:v>一次資料</x:v>
      </x:c>
      <x:c r="G68" s="26" t="str">
        <x:v>https://www.schiit.com/products/fulla-2</x:v>
      </x:c>
    </x:row>
    <x:row r="69" ht="42" customHeight="1">
      <x:c r="A69" s="33" t="n">
        <x:v>65</x:v>
      </x:c>
      <x:c r="B69" s="24" t="str">
        <x:v>レビュー/測定</x:v>
      </x:c>
      <x:c r="C69" s="24" t="str">
        <x:v>Fulla E</x:v>
      </x:c>
      <x:c r="D69" s="24" t="str">
        <x:v>audiosciencereview.com</x:v>
      </x:c>
      <x:c r="E69" s="24" t="str">
        <x:v>音質傾向・測定・反対意見</x:v>
      </x:c>
      <x:c r="F69" s="33" t="str">
        <x:v>高</x:v>
      </x:c>
      <x:c r="G69" s="24" t="str">
        <x:v>https://www.audiosciencereview.com/forum/index.php?threads/schiit-fulla-e-dac-amp-review.40061/</x:v>
      </x:c>
    </x:row>
    <x:row r="70" ht="42" customHeight="1">
      <x:c r="A70" s="32" t="n">
        <x:v>66</x:v>
      </x:c>
      <x:c r="B70" s="26" t="str">
        <x:v>レビュー/測定</x:v>
      </x:c>
      <x:c r="C70" s="26" t="str">
        <x:v>Fulla E</x:v>
      </x:c>
      <x:c r="D70" s="26" t="str">
        <x:v>superbestaudiofriends.org</x:v>
      </x:c>
      <x:c r="E70" s="26" t="str">
        <x:v>音質傾向・測定・反対意見</x:v>
      </x:c>
      <x:c r="F70" s="32" t="str">
        <x:v>高</x:v>
      </x:c>
      <x:c r="G70" s="26" t="str">
        <x:v>https://superbestaudiofriends.org/index.php?threads/fulla-e-impressions-thread.11643/</x:v>
      </x:c>
    </x:row>
    <x:row r="71" ht="42" customHeight="1">
      <x:c r="A71" s="33" t="n">
        <x:v>67</x:v>
      </x:c>
      <x:c r="B71" s="24" t="str">
        <x:v>レビュー/測定</x:v>
      </x:c>
      <x:c r="C71" s="24" t="str">
        <x:v>Fulla E</x:v>
      </x:c>
      <x:c r="D71" s="24" t="str">
        <x:v>avgadgets.com</x:v>
      </x:c>
      <x:c r="E71" s="24" t="str">
        <x:v>音質傾向・測定・反対意見</x:v>
      </x:c>
      <x:c r="F71" s="33" t="str">
        <x:v>高</x:v>
      </x:c>
      <x:c r="G71" s="24" t="str">
        <x:v>https://avgadgets.com/a-headphone-amp-thats-fulla-schiit/</x:v>
      </x:c>
    </x:row>
    <x:row r="72" ht="42" customHeight="1">
      <x:c r="A72" s="32" t="n">
        <x:v>68</x:v>
      </x:c>
      <x:c r="B72" s="26" t="str">
        <x:v>公式</x:v>
      </x:c>
      <x:c r="C72" s="26" t="str">
        <x:v>Gunnr</x:v>
      </x:c>
      <x:c r="D72" s="26" t="str">
        <x:v>schiit.com</x:v>
      </x:c>
      <x:c r="E72" s="26" t="str">
        <x:v>価格・仕様・状態</x:v>
      </x:c>
      <x:c r="F72" s="32" t="str">
        <x:v>一次資料</x:v>
      </x:c>
      <x:c r="G72" s="26" t="str">
        <x:v>https://www.schiit.com/products/gunnr</x:v>
      </x:c>
    </x:row>
    <x:row r="73" ht="42" customHeight="1">
      <x:c r="A73" s="33" t="n">
        <x:v>69</x:v>
      </x:c>
      <x:c r="B73" s="24" t="str">
        <x:v>レビュー/測定</x:v>
      </x:c>
      <x:c r="C73" s="24" t="str">
        <x:v>Gunnr</x:v>
      </x:c>
      <x:c r="D73" s="24" t="str">
        <x:v>superbestaudiofriends.org</x:v>
      </x:c>
      <x:c r="E73" s="24" t="str">
        <x:v>音質傾向・測定・反対意見</x:v>
      </x:c>
      <x:c r="F73" s="33" t="str">
        <x:v>中</x:v>
      </x:c>
      <x:c r="G73" s="24" t="str">
        <x:v>https://superbestaudiofriends.org/index.php?threads/schiit-gunnr-review-sort-of.14712/</x:v>
      </x:c>
    </x:row>
    <x:row r="74" ht="42" customHeight="1">
      <x:c r="A74" s="32" t="n">
        <x:v>70</x:v>
      </x:c>
      <x:c r="B74" s="26" t="str">
        <x:v>レビュー/測定</x:v>
      </x:c>
      <x:c r="C74" s="26" t="str">
        <x:v>Gunnr</x:v>
      </x:c>
      <x:c r="D74" s="26" t="str">
        <x:v>head-fi.org</x:v>
      </x:c>
      <x:c r="E74" s="26" t="str">
        <x:v>音質傾向・測定・反対意見</x:v>
      </x:c>
      <x:c r="F74" s="32" t="str">
        <x:v>中</x:v>
      </x:c>
      <x:c r="G74" s="26" t="str">
        <x:v>https://www.head-fi.org/threads/schiit-gunnr-is-in-the-house.974415/</x:v>
      </x:c>
    </x:row>
    <x:row r="75" ht="42" customHeight="1">
      <x:c r="A75" s="33" t="n">
        <x:v>71</x:v>
      </x:c>
      <x:c r="B75" s="24" t="str">
        <x:v>レビュー/測定</x:v>
      </x:c>
      <x:c r="C75" s="24" t="str">
        <x:v>Gunnr</x:v>
      </x:c>
      <x:c r="D75" s="24" t="str">
        <x:v>ecoustics.com</x:v>
      </x:c>
      <x:c r="E75" s="24" t="str">
        <x:v>音質傾向・測定・反対意見</x:v>
      </x:c>
      <x:c r="F75" s="33" t="str">
        <x:v>中</x:v>
      </x:c>
      <x:c r="G75" s="24" t="str">
        <x:v>https://www.ecoustics.com/products/schiit-gunnr/</x:v>
      </x:c>
    </x:row>
    <x:row r="76" ht="42" customHeight="1">
      <x:c r="A76" s="32" t="n">
        <x:v>72</x:v>
      </x:c>
      <x:c r="B76" s="26" t="str">
        <x:v>公式</x:v>
      </x:c>
      <x:c r="C76" s="26" t="str">
        <x:v>Lyr+ Last Call</x:v>
      </x:c>
      <x:c r="D76" s="26" t="str">
        <x:v>schiit.com</x:v>
      </x:c>
      <x:c r="E76" s="26" t="str">
        <x:v>価格・仕様・状態</x:v>
      </x:c>
      <x:c r="F76" s="32" t="str">
        <x:v>一次資料</x:v>
      </x:c>
      <x:c r="G76" s="26" t="str">
        <x:v>https://www.schiit.com/products/lyr</x:v>
      </x:c>
    </x:row>
    <x:row r="77" ht="42" customHeight="1">
      <x:c r="A77" s="33" t="n">
        <x:v>73</x:v>
      </x:c>
      <x:c r="B77" s="24" t="str">
        <x:v>レビュー/測定</x:v>
      </x:c>
      <x:c r="C77" s="24" t="str">
        <x:v>Lyr+ Last Call</x:v>
      </x:c>
      <x:c r="D77" s="24" t="str">
        <x:v>ichos-reviews.com</x:v>
      </x:c>
      <x:c r="E77" s="24" t="str">
        <x:v>音質傾向・測定・反対意見</x:v>
      </x:c>
      <x:c r="F77" s="33" t="str">
        <x:v>高</x:v>
      </x:c>
      <x:c r="G77" s="24" t="str">
        <x:v>https://ichos-reviews.com/schiit-lyr-review/</x:v>
      </x:c>
    </x:row>
    <x:row r="78" ht="42" customHeight="1">
      <x:c r="A78" s="32" t="n">
        <x:v>74</x:v>
      </x:c>
      <x:c r="B78" s="26" t="str">
        <x:v>レビュー/測定</x:v>
      </x:c>
      <x:c r="C78" s="26" t="str">
        <x:v>Lyr+ Last Call</x:v>
      </x:c>
      <x:c r="D78" s="26" t="str">
        <x:v>superbestaudiofriends.org</x:v>
      </x:c>
      <x:c r="E78" s="26" t="str">
        <x:v>音質傾向・測定・反対意見</x:v>
      </x:c>
      <x:c r="F78" s="32" t="str">
        <x:v>高</x:v>
      </x:c>
      <x:c r="G78" s="26" t="str">
        <x:v>https://superbestaudiofriends.org/index.php?threads/schiit-lyr-review-or-random-thoughts-about-it.12754/</x:v>
      </x:c>
    </x:row>
    <x:row r="79" ht="42" customHeight="1">
      <x:c r="A79" s="33" t="n">
        <x:v>75</x:v>
      </x:c>
      <x:c r="B79" s="24" t="str">
        <x:v>レビュー/測定</x:v>
      </x:c>
      <x:c r="C79" s="24" t="str">
        <x:v>Lyr+ Last Call</x:v>
      </x:c>
      <x:c r="D79" s="24" t="str">
        <x:v>reddit.com</x:v>
      </x:c>
      <x:c r="E79" s="24" t="str">
        <x:v>音質傾向・測定・反対意見</x:v>
      </x:c>
      <x:c r="F79" s="33" t="str">
        <x:v>高</x:v>
      </x:c>
      <x:c r="G79" s="24" t="str">
        <x:v>https://www.reddit.com/r/Schiit/comments/1clnp6x/lyr_owners_your_personal_experiences/</x:v>
      </x:c>
    </x:row>
    <x:row r="80" ht="42" customHeight="1">
      <x:c r="A80" s="32" t="n">
        <x:v>76</x:v>
      </x:c>
      <x:c r="B80" s="26" t="str">
        <x:v>公式ガイド</x:v>
      </x:c>
      <x:c r="C80" s="26" t="str">
        <x:v>共通</x:v>
      </x:c>
      <x:c r="D80" s="26" t="str">
        <x:v>schiit.com</x:v>
      </x:c>
      <x:c r="E80" s="26" t="str">
        <x:v>電圧選択・日本100V注意</x:v>
      </x:c>
      <x:c r="F80" s="32" t="str">
        <x:v>一次資料</x:v>
      </x:c>
      <x:c r="G80" s="26" t="str">
        <x:v>https://www.schiit.com/voltage-type</x:v>
      </x:c>
    </x:row>
    <x:row r="81" ht="42" customHeight="1">
      <x:c r="A81" s="34" t="n">
        <x:v>77</x:v>
      </x:c>
      <x:c r="B81" s="25" t="str">
        <x:v>公式カタログ</x:v>
      </x:c>
      <x:c r="C81" s="25" t="str">
        <x:v>共通</x:v>
      </x:c>
      <x:c r="D81" s="25" t="str">
        <x:v>schiit.com</x:v>
      </x:c>
      <x:c r="E81" s="25" t="str">
        <x:v>現行販売状態</x:v>
      </x:c>
      <x:c r="F81" s="34" t="str">
        <x:v>一次資料</x:v>
      </x:c>
      <x:c r="G81" s="25" t="str">
        <x:v>https://www.schiit.com/products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84c541b07b343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72" hidden="0" customWidth="1"/>
    <x:col min="4" max="4" width="32" hidden="0" customWidth="1"/>
    <x:col min="5" max="5" width="38" hidden="0" customWidth="1"/>
  </x:cols>
  <x:sheetData>
    <x:row r="1" ht="34" customHeight="1">
      <x:c r="A1" s="4" t="str">
        <x:v>評価基準 — 編集スコアと証拠の扱い</x:v>
      </x:c>
      <x:c r="B1" s="4"/>
      <x:c r="C1" s="4"/>
      <x:c r="D1" s="4"/>
      <x:c r="E1" s="4"/>
    </x:row>
    <x:row r="2" ht="27" customHeight="1">
      <x:c r="A2" s="9" t="str">
        <x:v>1（不向き）〜5（非常に向く）の編集評価。公式格付けではない。</x:v>
      </x:c>
      <x:c r="B2" s="9"/>
      <x:c r="C2" s="9"/>
      <x:c r="D2" s="9"/>
      <x:c r="E2" s="9"/>
    </x:row>
    <x:row r="4" ht="30" customHeight="1">
      <x:c r="A4" s="15" t="str">
        <x:v>評価軸</x:v>
      </x:c>
      <x:c r="B4" s="15" t="str">
        <x:v>スコア</x:v>
      </x:c>
      <x:c r="C4" s="15" t="str">
        <x:v>定義</x:v>
      </x:c>
      <x:c r="D4" s="15" t="str">
        <x:v>対象用途</x:v>
      </x:c>
      <x:c r="E4" s="15" t="str">
        <x:v>判定材料・注意</x:v>
      </x:c>
    </x:row>
    <x:row r="5" ht="54" customHeight="1">
      <x:c r="A5" s="31" t="str">
        <x:v>IEM適性</x:v>
      </x:c>
      <x:c r="B5" s="31" t="n">
        <x:v>5</x:v>
      </x:c>
      <x:c r="C5" s="23" t="str">
        <x:v>負ゲイン等を含め微小音量を扱いやすい</x:v>
      </x:c>
      <x:c r="D5" s="23" t="str">
        <x:v>高感度CIEM/多BA</x:v>
      </x:c>
      <x:c r="E5" s="23" t="str">
        <x:v>ノイズ・ゲイン・出力Z・音量域</x:v>
      </x:c>
    </x:row>
    <x:row r="6" ht="54" customHeight="1">
      <x:c r="A6" s="32" t="str">
        <x:v>IEM適性</x:v>
      </x:c>
      <x:c r="B6" s="32" t="n">
        <x:v>4</x:v>
      </x:c>
      <x:c r="C6" s="26" t="str">
        <x:v>低ノイズ・低インピーダンスで概ね安心</x:v>
      </x:c>
      <x:c r="D6" s="26" t="str">
        <x:v>高感度CIEM/多BA</x:v>
      </x:c>
      <x:c r="E6" s="26" t="str">
        <x:v>ノイズ・ゲイン・出力Z・音量域</x:v>
      </x:c>
    </x:row>
    <x:row r="7" ht="54" customHeight="1">
      <x:c r="A7" s="33" t="str">
        <x:v>IEM適性</x:v>
      </x:c>
      <x:c r="B7" s="33" t="n">
        <x:v>3</x:v>
      </x:c>
      <x:c r="C7" s="24" t="str">
        <x:v>低ゲインや出力選択で実用</x:v>
      </x:c>
      <x:c r="D7" s="24" t="str">
        <x:v>高感度CIEM/多BA</x:v>
      </x:c>
      <x:c r="E7" s="24" t="str">
        <x:v>ノイズ・ゲイン・出力Z・音量域</x:v>
      </x:c>
    </x:row>
    <x:row r="8" ht="54" customHeight="1">
      <x:c r="A8" s="32" t="str">
        <x:v>IEM適性</x:v>
      </x:c>
      <x:c r="B8" s="32" t="n">
        <x:v>2</x:v>
      </x:c>
      <x:c r="C8" s="26" t="str">
        <x:v>ノイズまたは出力インピーダンス面で限定的</x:v>
      </x:c>
      <x:c r="D8" s="26" t="str">
        <x:v>高感度CIEM/多BA</x:v>
      </x:c>
      <x:c r="E8" s="26" t="str">
        <x:v>ノイズ・ゲイン・出力Z・音量域</x:v>
      </x:c>
    </x:row>
    <x:row r="9" ht="54" customHeight="1">
      <x:c r="A9" s="33" t="str">
        <x:v>IEM適性</x:v>
      </x:c>
      <x:c r="B9" s="33" t="n">
        <x:v>1</x:v>
      </x:c>
      <x:c r="C9" s="24" t="str">
        <x:v>敏感な多BA型には避けたい</x:v>
      </x:c>
      <x:c r="D9" s="24" t="str">
        <x:v>高感度CIEM/多BA</x:v>
      </x:c>
      <x:c r="E9" s="24" t="str">
        <x:v>ノイズ・ゲイン・出力Z・音量域</x:v>
      </x:c>
    </x:row>
    <x:row r="10" ht="54" customHeight="1">
      <x:c r="A10" s="32" t="str">
        <x:v>平面駆動</x:v>
      </x:c>
      <x:c r="B10" s="32" t="str">
        <x:v>1〜5</x:v>
      </x:c>
      <x:c r="C10" s="26" t="str">
        <x:v>1: 電力不足 / 3: 一般的な平面駆動型には実用 / 5: 大電流・高出力で余裕が大きい</x:v>
      </x:c>
      <x:c r="D10" s="26" t="str">
        <x:v>低〜中インピーダンス平面駆動</x:v>
      </x:c>
      <x:c r="E10" s="26" t="str">
        <x:v>電流供給と出力余裕</x:v>
      </x:c>
    </x:row>
    <x:row r="11" ht="54" customHeight="1">
      <x:c r="A11" s="33" t="str">
        <x:v>高インピーダンス</x:v>
      </x:c>
      <x:c r="B11" s="33" t="str">
        <x:v>1〜5</x:v>
      </x:c>
      <x:c r="C11" s="24" t="str">
        <x:v>1: 高インピーダンス型に不向き / 3: 実用 / 5: 電圧余裕またはOTL適性が高い</x:v>
      </x:c>
      <x:c r="D11" s="24" t="str">
        <x:v>250〜600Ω動電型</x:v>
      </x:c>
      <x:c r="E11" s="24" t="str">
        <x:v>電圧余裕とOTL適性</x:v>
      </x:c>
    </x:row>
    <x:row r="12" ht="54" customHeight="1">
      <x:c r="A12" s="32" t="str">
        <x:v>価値</x:v>
      </x:c>
      <x:c r="B12" s="32" t="str">
        <x:v>1〜5</x:v>
      </x:c>
      <x:c r="C12" s="26" t="str">
        <x:v>1: 費用対効果を選びにくい / 3: 用途が合えば妥当 / 5: 同価格帯で機能・性能が強い</x:v>
      </x:c>
      <x:c r="D12" s="26" t="str">
        <x:v>全製品</x:v>
      </x:c>
      <x:c r="E12" s="26" t="str">
        <x:v>価格・機能・性能・代替</x:v>
      </x:c>
    </x:row>
    <x:row r="13" ht="54" customHeight="1">
      <x:c r="A13" s="33" t="str">
        <x:v>レビュー確信度</x:v>
      </x:c>
      <x:c r="B13" s="33" t="str">
        <x:v>High</x:v>
      </x:c>
      <x:c r="C13" s="24" t="str">
        <x:v>複数世代一致ソース、測定と長期傾向あり</x:v>
      </x:c>
      <x:c r="D13" s="24" t="str">
        <x:v>レビュー傾向</x:v>
      </x:c>
      <x:c r="E13" s="24" t="str">
        <x:v>好評度とは別</x:v>
      </x:c>
    </x:row>
    <x:row r="14" ht="54" customHeight="1">
      <x:c r="A14" s="32" t="str">
        <x:v>レビュー確信度</x:v>
      </x:c>
      <x:c r="B14" s="32" t="str">
        <x:v>Medium</x:v>
      </x:c>
      <x:c r="C14" s="26" t="str">
        <x:v>複数ソースだが新製品または見解差あり</x:v>
      </x:c>
      <x:c r="D14" s="26" t="str">
        <x:v>レビュー傾向</x:v>
      </x:c>
      <x:c r="E14" s="26" t="str">
        <x:v>好評度とは別</x:v>
      </x:c>
    </x:row>
    <x:row r="15" ht="54" customHeight="1">
      <x:c r="A15" s="33" t="str">
        <x:v>レビュー確信度</x:v>
      </x:c>
      <x:c r="B15" s="33" t="str">
        <x:v>Low</x:v>
      </x:c>
      <x:c r="C15" s="24" t="str">
        <x:v>発売直後で長期・独立レビューが少ない</x:v>
      </x:c>
      <x:c r="D15" s="24" t="str">
        <x:v>レビュー傾向</x:v>
      </x:c>
      <x:c r="E15" s="24" t="str">
        <x:v>好評度とは別</x:v>
      </x:c>
    </x:row>
    <x:row r="16" ht="54" customHeight="1">
      <x:c r="A16" s="32" t="str">
        <x:v>調査原則</x:v>
      </x:c>
      <x:c r="B16" s="32" t="n">
        <x:v>1</x:v>
      </x:c>
      <x:c r="C16" s="26" t="str">
        <x:v>価格、入出力、電力、電圧、保証などは公式製品ページを一次情報とした。</x:v>
      </x:c>
      <x:c r="D16" s="26" t="str">
        <x:v>全項目</x:v>
      </x:c>
      <x:c r="E16" s="26" t="str"/>
    </x:row>
    <x:row r="17" ht="54" customHeight="1">
      <x:c r="A17" s="33" t="str">
        <x:v>調査原則</x:v>
      </x:c>
      <x:c r="B17" s="33" t="n">
        <x:v>2</x:v>
      </x:c>
      <x:c r="C17" s="24" t="str">
        <x:v>測定レビュー、専門誌、フォーラムの複数系統を照合し、主観的な音質表現は事実と分離した。</x:v>
      </x:c>
      <x:c r="D17" s="24" t="str">
        <x:v>全項目</x:v>
      </x:c>
      <x:c r="E17" s="24" t="str"/>
    </x:row>
    <x:row r="18" ht="54" customHeight="1">
      <x:c r="A18" s="32" t="str">
        <x:v>調査原則</x:v>
      </x:c>
      <x:c r="B18" s="32" t="n">
        <x:v>3</x:v>
      </x:c>
      <x:c r="C18" s="26" t="str">
        <x:v>レビュー信頼度は好評価の強さではなく、世代一致、情報量、独立ソース数、長期使用情報の成熟度を表す。</x:v>
      </x:c>
      <x:c r="D18" s="26" t="str">
        <x:v>全項目</x:v>
      </x:c>
      <x:c r="E18" s="26" t="str"/>
    </x:row>
    <x:row r="19" ht="54" customHeight="1">
      <x:c r="A19" s="34" t="str">
        <x:v>調査原則</x:v>
      </x:c>
      <x:c r="B19" s="34" t="n">
        <x:v>4</x:v>
      </x:c>
      <x:c r="C19" s="25" t="str">
        <x:v>音質差はシステム、音量整合、個体、期待バイアスに左右される。DAC間の可聴差は断定しない。</x:v>
      </x:c>
      <x:c r="D19" s="25" t="str">
        <x:v>全項目</x:v>
      </x:c>
      <x:c r="E19" s="25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b5a4b8b86eb4739"/>
  </x:tableParts>
</x:worksheet>
</file>